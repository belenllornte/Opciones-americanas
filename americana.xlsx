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en\Downloads\"/>
    </mc:Choice>
  </mc:AlternateContent>
  <xr:revisionPtr revIDLastSave="0" documentId="8_{F5ECAE76-5EE7-4392-822F-7040484F84EA}" xr6:coauthVersionLast="47" xr6:coauthVersionMax="47" xr10:uidLastSave="{00000000-0000-0000-0000-000000000000}"/>
  <bookViews>
    <workbookView xWindow="-110" yWindow="-110" windowWidth="21820" windowHeight="13900" xr2:uid="{07371DF7-3430-40AA-A44B-763923C8A734}"/>
  </bookViews>
  <sheets>
    <sheet name="Americana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25" i="1"/>
  <c r="O24" i="1"/>
  <c r="O25" i="1"/>
  <c r="O26" i="1"/>
  <c r="P26" i="1" s="1"/>
  <c r="O27" i="1"/>
  <c r="O28" i="1"/>
  <c r="O29" i="1"/>
  <c r="O30" i="1"/>
  <c r="O31" i="1"/>
  <c r="O32" i="1"/>
  <c r="O23" i="1"/>
  <c r="B4" i="1"/>
  <c r="B3" i="1"/>
  <c r="B5" i="1"/>
  <c r="D23" i="1" a="1"/>
  <c r="D23" i="1" s="1"/>
  <c r="E22" i="1" a="1"/>
  <c r="E22" i="1" s="1"/>
  <c r="E26" i="1" s="1"/>
  <c r="E9" i="1" a="1"/>
  <c r="D10" i="1" a="1"/>
  <c r="B24" i="1" l="1"/>
  <c r="H32" i="1"/>
  <c r="H31" i="1"/>
  <c r="K30" i="1"/>
  <c r="I29" i="1"/>
  <c r="E29" i="1"/>
  <c r="F28" i="1"/>
  <c r="F27" i="1"/>
  <c r="K32" i="1"/>
  <c r="G32" i="1"/>
  <c r="K31" i="1"/>
  <c r="G31" i="1"/>
  <c r="J30" i="1"/>
  <c r="F30" i="1"/>
  <c r="H29" i="1"/>
  <c r="I28" i="1"/>
  <c r="E28" i="1"/>
  <c r="E27" i="1"/>
  <c r="F25" i="1"/>
  <c r="J32" i="1"/>
  <c r="F32" i="1"/>
  <c r="J31" i="1"/>
  <c r="F31" i="1"/>
  <c r="I30" i="1"/>
  <c r="E30" i="1"/>
  <c r="G29" i="1"/>
  <c r="H28" i="1"/>
  <c r="H27" i="1"/>
  <c r="G26" i="1"/>
  <c r="E25" i="1"/>
  <c r="L32" i="1"/>
  <c r="L31" i="1"/>
  <c r="G30" i="1"/>
  <c r="M32" i="1"/>
  <c r="I32" i="1"/>
  <c r="E32" i="1"/>
  <c r="I31" i="1"/>
  <c r="E31" i="1"/>
  <c r="H30" i="1"/>
  <c r="J29" i="1"/>
  <c r="F29" i="1"/>
  <c r="G28" i="1"/>
  <c r="G27" i="1"/>
  <c r="F26" i="1"/>
  <c r="E24" i="1"/>
  <c r="J19" i="1"/>
  <c r="L18" i="1"/>
  <c r="F17" i="1"/>
  <c r="H16" i="1"/>
  <c r="F13" i="1"/>
  <c r="M19" i="1"/>
  <c r="I19" i="1"/>
  <c r="K18" i="1"/>
  <c r="G18" i="1"/>
  <c r="I17" i="1"/>
  <c r="G16" i="1"/>
  <c r="I15" i="1"/>
  <c r="G14" i="1"/>
  <c r="F19" i="1"/>
  <c r="H18" i="1"/>
  <c r="J17" i="1"/>
  <c r="F15" i="1"/>
  <c r="H14" i="1"/>
  <c r="E9" i="1"/>
  <c r="E17" i="1" s="1"/>
  <c r="L19" i="1"/>
  <c r="H19" i="1"/>
  <c r="J18" i="1"/>
  <c r="F18" i="1"/>
  <c r="H17" i="1"/>
  <c r="J16" i="1"/>
  <c r="F16" i="1"/>
  <c r="H15" i="1"/>
  <c r="F14" i="1"/>
  <c r="F12" i="1"/>
  <c r="K19" i="1"/>
  <c r="G19" i="1"/>
  <c r="I18" i="1"/>
  <c r="K17" i="1"/>
  <c r="G17" i="1"/>
  <c r="I16" i="1"/>
  <c r="G15" i="1"/>
  <c r="G13" i="1"/>
  <c r="D10" i="1"/>
  <c r="E15" i="1" l="1"/>
  <c r="E13" i="1"/>
  <c r="E10" i="1"/>
  <c r="M10" i="1" s="1"/>
  <c r="E12" i="1"/>
  <c r="E14" i="1"/>
  <c r="E16" i="1"/>
  <c r="E18" i="1"/>
  <c r="E11" i="1"/>
  <c r="E19" i="1"/>
  <c r="L10" i="1" l="1"/>
  <c r="N10" i="1"/>
  <c r="N23" i="1" s="1"/>
  <c r="F10" i="1"/>
  <c r="I10" i="1"/>
  <c r="J10" i="1"/>
  <c r="G10" i="1"/>
  <c r="G11" i="1"/>
  <c r="N17" i="1"/>
  <c r="N30" i="1" s="1"/>
  <c r="L14" i="1"/>
  <c r="N11" i="1"/>
  <c r="N24" i="1" s="1"/>
  <c r="M15" i="1"/>
  <c r="K12" i="1"/>
  <c r="N16" i="1"/>
  <c r="N29" i="1" s="1"/>
  <c r="L13" i="1"/>
  <c r="H13" i="1"/>
  <c r="L11" i="1"/>
  <c r="M18" i="1"/>
  <c r="M14" i="1"/>
  <c r="K16" i="1"/>
  <c r="N15" i="1"/>
  <c r="N28" i="1" s="1"/>
  <c r="L12" i="1"/>
  <c r="H11" i="1"/>
  <c r="I14" i="1"/>
  <c r="M17" i="1"/>
  <c r="I11" i="1"/>
  <c r="K10" i="1"/>
  <c r="I12" i="1"/>
  <c r="N13" i="1"/>
  <c r="N26" i="1" s="1"/>
  <c r="F11" i="1"/>
  <c r="M13" i="1"/>
  <c r="G12" i="1"/>
  <c r="N19" i="1"/>
  <c r="N32" i="1" s="1"/>
  <c r="L16" i="1"/>
  <c r="J13" i="1"/>
  <c r="N14" i="1"/>
  <c r="N27" i="1" s="1"/>
  <c r="M16" i="1"/>
  <c r="M12" i="1"/>
  <c r="M11" i="1"/>
  <c r="M24" i="1" s="1"/>
  <c r="J14" i="1"/>
  <c r="K11" i="1"/>
  <c r="J12" i="1"/>
  <c r="K15" i="1"/>
  <c r="I13" i="1"/>
  <c r="L17" i="1"/>
  <c r="N12" i="1"/>
  <c r="N25" i="1" s="1"/>
  <c r="J15" i="1"/>
  <c r="H12" i="1"/>
  <c r="K14" i="1"/>
  <c r="J11" i="1"/>
  <c r="N18" i="1"/>
  <c r="N31" i="1" s="1"/>
  <c r="L15" i="1"/>
  <c r="K13" i="1"/>
  <c r="H10" i="1"/>
  <c r="M26" i="1" l="1"/>
  <c r="M27" i="1"/>
  <c r="M23" i="1"/>
  <c r="L23" i="1"/>
  <c r="M25" i="1"/>
  <c r="L24" i="1" s="1"/>
  <c r="M29" i="1"/>
  <c r="L29" i="1" s="1"/>
  <c r="M30" i="1"/>
  <c r="L25" i="1"/>
  <c r="K25" i="1" s="1"/>
  <c r="L26" i="1"/>
  <c r="M31" i="1"/>
  <c r="M28" i="1"/>
  <c r="L27" i="1" s="1"/>
  <c r="K24" i="1" l="1"/>
  <c r="J24" i="1" s="1"/>
  <c r="K23" i="1"/>
  <c r="J23" i="1" s="1"/>
  <c r="I23" i="1" s="1"/>
  <c r="L28" i="1"/>
  <c r="K28" i="1" s="1"/>
  <c r="K26" i="1"/>
  <c r="L30" i="1"/>
  <c r="K29" i="1" s="1"/>
  <c r="J28" i="1" l="1"/>
  <c r="J25" i="1"/>
  <c r="K27" i="1"/>
  <c r="J27" i="1" s="1"/>
  <c r="I27" i="1" s="1"/>
  <c r="I24" i="1" l="1"/>
  <c r="J26" i="1"/>
  <c r="I26" i="1" s="1"/>
  <c r="H26" i="1" s="1"/>
  <c r="H23" i="1" l="1"/>
  <c r="I25" i="1"/>
  <c r="H25" i="1" s="1"/>
  <c r="G25" i="1" s="1"/>
  <c r="H24" i="1" l="1"/>
  <c r="G24" i="1" s="1"/>
  <c r="F24" i="1" s="1"/>
  <c r="G23" i="1" l="1"/>
  <c r="F23" i="1" s="1"/>
  <c r="E23" i="1" s="1"/>
  <c r="B2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<sst xmlns="http://schemas.openxmlformats.org/spreadsheetml/2006/main" count="15" uniqueCount="15">
  <si>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S0</t>
  </si>
  <si>
    <t>u</t>
  </si>
  <si>
    <t>d</t>
  </si>
  <si>
    <t>K</t>
  </si>
  <si>
    <t>r</t>
  </si>
  <si>
    <t>delta_t</t>
  </si>
  <si>
    <t>p</t>
  </si>
  <si>
    <t>sigma</t>
  </si>
  <si>
    <t>Precio</t>
  </si>
  <si>
    <t>Check BS</t>
  </si>
  <si>
    <t>d1</t>
  </si>
  <si>
    <t>d2</t>
  </si>
  <si>
    <t>S</t>
  </si>
  <si>
    <t>C</t>
  </si>
  <si>
    <t>Europea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</si>
</sst>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0" fillId="4" borderId="0" xfId="0" applyFill="1"/>
    <xf numFmtId="4" fontId="0" fillId="5" borderId="0" xfId="0" applyNumberFormat="1" applyFill="1"/>
    <xf numFmtId="0" fontId="0" fillId="6" borderId="0" xfId="0" applyFill="1" applyAlignment="1">
      <alignment horizontal="center" vertical="center"/>
    </xf>
    <xf numFmtId="0" fontId="0" fillId="7" borderId="0" xfId="0" applyFill="1"/>
    <xf numFmtId="4" fontId="0" fillId="8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9C1A-6B29-49CF-B5B6-947FFBCD27AD}">
  <dimension ref="A2:P32"/>
  <sheetViews>
    <sheetView showGridLines="0" tabSelected="1" zoomScale="89" zoomScaleNormal="56" workbookViewId="0">
      <selection activeCell="T3" sqref="T3"/>
    </sheetView>
  </sheetViews>
  <sheetFormatPr baseColWidth="10" defaultRowHeight="14.5" x14ac:dyDescent="0.35"/>
  <sheetData>
    <row r="2" spans="1:14" x14ac:dyDescent="0.35">
      <c r="A2" s="1" t="s">
        <v>0</v>
      </c>
      <c r="B2" s="2">
        <v>10</v>
      </c>
    </row>
    <row r="3" spans="1:14" x14ac:dyDescent="0.35">
      <c r="A3" s="1" t="s">
        <v>1</v>
      </c>
      <c r="B3" s="2">
        <f>+EXP($B$9*$B$5)*EXP($B$7*SQRT($B$5))*(2/(EXP($B$7*SQRT($B$5))+EXP(-$B$7*SQRT($B$5))))</f>
        <v>1.0598767403663236</v>
      </c>
    </row>
    <row r="4" spans="1:14" x14ac:dyDescent="0.35">
      <c r="A4" s="1" t="s">
        <v>2</v>
      </c>
      <c r="B4" s="2">
        <f>+EXP($B$9*$B$5)*EXP(-$B$7*SQRT($B$5))*(2/(EXP($B$7*SQRT($B$5))+EXP(-$B$7*SQRT($B$5))))</f>
        <v>0.94429426959377338</v>
      </c>
    </row>
    <row r="5" spans="1:14" x14ac:dyDescent="0.35">
      <c r="A5" s="1" t="s">
        <v>5</v>
      </c>
      <c r="B5" s="2">
        <f>1/12</f>
        <v>8.3333333333333329E-2</v>
      </c>
    </row>
    <row r="6" spans="1:14" x14ac:dyDescent="0.35">
      <c r="A6" s="1" t="s">
        <v>6</v>
      </c>
      <c r="B6" s="2">
        <v>0.5</v>
      </c>
    </row>
    <row r="7" spans="1:14" x14ac:dyDescent="0.35">
      <c r="A7" s="1" t="s">
        <v>7</v>
      </c>
      <c r="B7" s="3">
        <v>0.2</v>
      </c>
    </row>
    <row r="8" spans="1:14" x14ac:dyDescent="0.35">
      <c r="A8" s="1" t="s">
        <v>3</v>
      </c>
      <c r="B8" s="2">
        <v>11</v>
      </c>
    </row>
    <row r="9" spans="1:14" x14ac:dyDescent="0.35">
      <c r="A9" s="1" t="s">
        <v>4</v>
      </c>
      <c r="B9" s="2">
        <v>2.5000000000000001E-2</v>
      </c>
      <c r="D9" s="6" t="s">
        <v>12</v>
      </c>
      <c r="E9" s="4" cm="1">
        <f t="array" ref="E9:N9">+TRANSPOSE(_xlfn.SEQUENCE(10,,0))</f>
        <v>0</v>
      </c>
      <c r="F9" s="4">
        <v>1</v>
      </c>
      <c r="G9" s="4">
        <v>2</v>
      </c>
      <c r="H9" s="4">
        <v>3</v>
      </c>
      <c r="I9" s="4">
        <v>4</v>
      </c>
      <c r="J9" s="4">
        <v>5</v>
      </c>
      <c r="K9" s="4">
        <v>6</v>
      </c>
      <c r="L9" s="4">
        <v>7</v>
      </c>
      <c r="M9" s="4">
        <v>8</v>
      </c>
      <c r="N9" s="4">
        <v>9</v>
      </c>
    </row>
    <row r="10" spans="1:14" x14ac:dyDescent="0.35">
      <c r="D10" s="4" cm="1">
        <f t="array" ref="D10:D19">+_xlfn.SEQUENCE(10,,0)</f>
        <v>0</v>
      </c>
      <c r="E10" s="5">
        <f t="shared" ref="E10:N19" si="0">+IF($D10&gt;E$9,"",IF(AND(E$9=0,$D10=0),$B$2,$E$10*$B$3^(E$9-$D10)*$B$4^$D10))</f>
        <v>10</v>
      </c>
      <c r="F10" s="5">
        <f t="shared" si="0"/>
        <v>10.598767403663237</v>
      </c>
      <c r="G10" s="5">
        <f t="shared" si="0"/>
        <v>11.233387047695434</v>
      </c>
      <c r="H10" s="5">
        <f t="shared" si="0"/>
        <v>11.906005647384717</v>
      </c>
      <c r="I10" s="5">
        <f t="shared" si="0"/>
        <v>12.618898456333152</v>
      </c>
      <c r="J10" s="5">
        <f t="shared" si="0"/>
        <v>13.374476962912015</v>
      </c>
      <c r="K10" s="5">
        <f t="shared" si="0"/>
        <v>14.175297047555674</v>
      </c>
      <c r="L10" s="5">
        <f t="shared" si="0"/>
        <v>15.024067628487678</v>
      </c>
      <c r="M10" s="5">
        <f t="shared" si="0"/>
        <v>15.923659825124721</v>
      </c>
      <c r="N10" s="5">
        <f t="shared" si="0"/>
        <v>16.877116670155374</v>
      </c>
    </row>
    <row r="11" spans="1:14" x14ac:dyDescent="0.35">
      <c r="D11" s="4">
        <v>1</v>
      </c>
      <c r="E11" s="5" t="str">
        <f t="shared" si="0"/>
        <v/>
      </c>
      <c r="F11" s="5">
        <f t="shared" si="0"/>
        <v>9.4429426959377345</v>
      </c>
      <c r="G11" s="5">
        <f t="shared" si="0"/>
        <v>10.00835532403647</v>
      </c>
      <c r="H11" s="5">
        <f t="shared" si="0"/>
        <v>10.607623017267715</v>
      </c>
      <c r="I11" s="5">
        <f t="shared" si="0"/>
        <v>11.242772906576493</v>
      </c>
      <c r="J11" s="5">
        <f t="shared" si="0"/>
        <v>11.915953500901109</v>
      </c>
      <c r="K11" s="5">
        <f t="shared" si="0"/>
        <v>12.62944195489175</v>
      </c>
      <c r="L11" s="5">
        <f t="shared" si="0"/>
        <v>13.385651771796358</v>
      </c>
      <c r="M11" s="5">
        <f t="shared" si="0"/>
        <v>14.187140967570228</v>
      </c>
      <c r="N11" s="5">
        <f t="shared" si="0"/>
        <v>15.036620723825862</v>
      </c>
    </row>
    <row r="12" spans="1:14" x14ac:dyDescent="0.35">
      <c r="D12" s="4">
        <v>2</v>
      </c>
      <c r="E12" s="5" t="str">
        <f t="shared" si="0"/>
        <v/>
      </c>
      <c r="F12" s="5" t="str">
        <f t="shared" si="0"/>
        <v/>
      </c>
      <c r="G12" s="5">
        <f t="shared" si="0"/>
        <v>8.9169166758763794</v>
      </c>
      <c r="H12" s="5">
        <f t="shared" si="0"/>
        <v>9.4508325805459723</v>
      </c>
      <c r="I12" s="5">
        <f t="shared" si="0"/>
        <v>10.016717629216915</v>
      </c>
      <c r="J12" s="5">
        <f t="shared" si="0"/>
        <v>10.616486030024314</v>
      </c>
      <c r="K12" s="5">
        <f t="shared" si="0"/>
        <v>11.25216660764678</v>
      </c>
      <c r="L12" s="5">
        <f t="shared" si="0"/>
        <v>11.925909666171462</v>
      </c>
      <c r="M12" s="5">
        <f t="shared" si="0"/>
        <v>12.63999426288504</v>
      </c>
      <c r="N12" s="5">
        <f t="shared" si="0"/>
        <v>13.396835917595627</v>
      </c>
    </row>
    <row r="13" spans="1:14" x14ac:dyDescent="0.35">
      <c r="D13" s="4">
        <v>3</v>
      </c>
      <c r="E13" s="5" t="str">
        <f t="shared" si="0"/>
        <v/>
      </c>
      <c r="F13" s="5" t="str">
        <f t="shared" si="0"/>
        <v/>
      </c>
      <c r="G13" s="5" t="str">
        <f t="shared" si="0"/>
        <v/>
      </c>
      <c r="H13" s="5">
        <f t="shared" si="0"/>
        <v>8.4201933194752225</v>
      </c>
      <c r="I13" s="5">
        <f t="shared" si="0"/>
        <v>8.9243670486996933</v>
      </c>
      <c r="J13" s="5">
        <f t="shared" si="0"/>
        <v>9.4587290574084584</v>
      </c>
      <c r="K13" s="5">
        <f t="shared" si="0"/>
        <v>10.025086921374307</v>
      </c>
      <c r="L13" s="5">
        <f t="shared" si="0"/>
        <v>10.625356448115262</v>
      </c>
      <c r="M13" s="5">
        <f t="shared" si="0"/>
        <v>11.261568157458703</v>
      </c>
      <c r="N13" s="5">
        <f t="shared" si="0"/>
        <v>11.935874150140513</v>
      </c>
    </row>
    <row r="14" spans="1:14" x14ac:dyDescent="0.35">
      <c r="D14" s="4">
        <v>4</v>
      </c>
      <c r="E14" s="5" t="str">
        <f t="shared" si="0"/>
        <v/>
      </c>
      <c r="F14" s="5" t="str">
        <f t="shared" si="0"/>
        <v/>
      </c>
      <c r="G14" s="5" t="str">
        <f t="shared" si="0"/>
        <v/>
      </c>
      <c r="H14" s="5" t="str">
        <f t="shared" si="0"/>
        <v/>
      </c>
      <c r="I14" s="5">
        <f t="shared" si="0"/>
        <v>7.9511403004522263</v>
      </c>
      <c r="J14" s="5">
        <f t="shared" si="0"/>
        <v>8.4272286638386174</v>
      </c>
      <c r="K14" s="5">
        <f t="shared" si="0"/>
        <v>8.9318236465509226</v>
      </c>
      <c r="L14" s="5">
        <f t="shared" si="0"/>
        <v>9.4666321320332418</v>
      </c>
      <c r="M14" s="5">
        <f t="shared" si="0"/>
        <v>10.033463206346491</v>
      </c>
      <c r="N14" s="5">
        <f t="shared" si="0"/>
        <v>10.634234277727961</v>
      </c>
    </row>
    <row r="15" spans="1:14" x14ac:dyDescent="0.35">
      <c r="D15" s="4">
        <v>5</v>
      </c>
      <c r="E15" s="5" t="str">
        <f t="shared" si="0"/>
        <v/>
      </c>
      <c r="F15" s="5" t="str">
        <f t="shared" si="0"/>
        <v/>
      </c>
      <c r="G15" s="5" t="str">
        <f t="shared" si="0"/>
        <v/>
      </c>
      <c r="H15" s="5" t="str">
        <f t="shared" si="0"/>
        <v/>
      </c>
      <c r="I15" s="5" t="str">
        <f t="shared" si="0"/>
        <v/>
      </c>
      <c r="J15" s="5">
        <f t="shared" si="0"/>
        <v>7.508216222453151</v>
      </c>
      <c r="K15" s="5">
        <f t="shared" si="0"/>
        <v>7.9577837358191976</v>
      </c>
      <c r="L15" s="5">
        <f t="shared" si="0"/>
        <v>8.4342698864601964</v>
      </c>
      <c r="M15" s="5">
        <f t="shared" si="0"/>
        <v>8.9392864746312757</v>
      </c>
      <c r="N15" s="5">
        <f t="shared" si="0"/>
        <v>9.4745418099329601</v>
      </c>
    </row>
    <row r="16" spans="1:14" x14ac:dyDescent="0.35">
      <c r="D16" s="4">
        <v>6</v>
      </c>
      <c r="E16" s="5" t="str">
        <f t="shared" si="0"/>
        <v/>
      </c>
      <c r="F16" s="5" t="str">
        <f t="shared" si="0"/>
        <v/>
      </c>
      <c r="G16" s="5" t="str">
        <f t="shared" si="0"/>
        <v/>
      </c>
      <c r="H16" s="5" t="str">
        <f t="shared" si="0"/>
        <v/>
      </c>
      <c r="I16" s="5" t="str">
        <f t="shared" si="0"/>
        <v/>
      </c>
      <c r="J16" s="5" t="str">
        <f t="shared" si="0"/>
        <v/>
      </c>
      <c r="K16" s="5">
        <f t="shared" si="0"/>
        <v>7.089965553733518</v>
      </c>
      <c r="L16" s="5">
        <f t="shared" si="0"/>
        <v>7.514489580400598</v>
      </c>
      <c r="M16" s="5">
        <f t="shared" si="0"/>
        <v>7.9644327219916891</v>
      </c>
      <c r="N16" s="5">
        <f t="shared" si="0"/>
        <v>8.4413169922514371</v>
      </c>
    </row>
    <row r="17" spans="1:16" x14ac:dyDescent="0.35">
      <c r="D17" s="4">
        <v>7</v>
      </c>
      <c r="E17" s="5" t="str">
        <f t="shared" si="0"/>
        <v/>
      </c>
      <c r="F17" s="5" t="str">
        <f t="shared" si="0"/>
        <v/>
      </c>
      <c r="G17" s="5" t="str">
        <f t="shared" si="0"/>
        <v/>
      </c>
      <c r="H17" s="5" t="str">
        <f t="shared" si="0"/>
        <v/>
      </c>
      <c r="I17" s="5" t="str">
        <f t="shared" si="0"/>
        <v/>
      </c>
      <c r="J17" s="5" t="str">
        <f t="shared" si="0"/>
        <v/>
      </c>
      <c r="K17" s="5" t="str">
        <f t="shared" si="0"/>
        <v/>
      </c>
      <c r="L17" s="5">
        <f t="shared" si="0"/>
        <v>6.6950138440078053</v>
      </c>
      <c r="M17" s="5">
        <f t="shared" si="0"/>
        <v>7.0958894496944032</v>
      </c>
      <c r="N17" s="5">
        <f t="shared" si="0"/>
        <v>7.5207681799418902</v>
      </c>
    </row>
    <row r="18" spans="1:16" x14ac:dyDescent="0.35">
      <c r="D18" s="4">
        <v>8</v>
      </c>
      <c r="E18" s="5" t="str">
        <f t="shared" si="0"/>
        <v/>
      </c>
      <c r="F18" s="5" t="str">
        <f t="shared" si="0"/>
        <v/>
      </c>
      <c r="G18" s="5" t="str">
        <f t="shared" si="0"/>
        <v/>
      </c>
      <c r="H18" s="5" t="str">
        <f t="shared" si="0"/>
        <v/>
      </c>
      <c r="I18" s="5" t="str">
        <f t="shared" si="0"/>
        <v/>
      </c>
      <c r="J18" s="5" t="str">
        <f t="shared" si="0"/>
        <v/>
      </c>
      <c r="K18" s="5" t="str">
        <f t="shared" si="0"/>
        <v/>
      </c>
      <c r="L18" s="5" t="str">
        <f t="shared" si="0"/>
        <v/>
      </c>
      <c r="M18" s="5">
        <f t="shared" si="0"/>
        <v>6.3220632077475525</v>
      </c>
      <c r="N18" s="5">
        <f t="shared" si="0"/>
        <v>6.70060774501734</v>
      </c>
    </row>
    <row r="19" spans="1:16" x14ac:dyDescent="0.35">
      <c r="D19" s="4">
        <v>9</v>
      </c>
      <c r="E19" s="5" t="str">
        <f t="shared" si="0"/>
        <v/>
      </c>
      <c r="F19" s="5" t="str">
        <f t="shared" si="0"/>
        <v/>
      </c>
      <c r="G19" s="5" t="str">
        <f t="shared" si="0"/>
        <v/>
      </c>
      <c r="H19" s="5" t="str">
        <f t="shared" si="0"/>
        <v/>
      </c>
      <c r="I19" s="5" t="str">
        <f t="shared" si="0"/>
        <v/>
      </c>
      <c r="J19" s="5" t="str">
        <f t="shared" si="0"/>
        <v/>
      </c>
      <c r="K19" s="5" t="str">
        <f t="shared" si="0"/>
        <v/>
      </c>
      <c r="L19" s="5" t="str">
        <f t="shared" si="0"/>
        <v/>
      </c>
      <c r="M19" s="5" t="str">
        <f t="shared" si="0"/>
        <v/>
      </c>
      <c r="N19" s="5">
        <f t="shared" si="0"/>
        <v>5.9698880590856431</v>
      </c>
    </row>
    <row r="22" spans="1:16" x14ac:dyDescent="0.35">
      <c r="D22" s="6" t="s">
        <v>13</v>
      </c>
      <c r="E22" s="4" cm="1">
        <f t="array" ref="E22:N22">+TRANSPOSE(_xlfn.SEQUENCE(10,,0))</f>
        <v>0</v>
      </c>
      <c r="F22" s="4">
        <v>1</v>
      </c>
      <c r="G22" s="4">
        <v>2</v>
      </c>
      <c r="H22" s="4">
        <v>3</v>
      </c>
      <c r="I22" s="4">
        <v>4</v>
      </c>
      <c r="J22" s="4">
        <v>5</v>
      </c>
      <c r="K22" s="4">
        <v>6</v>
      </c>
      <c r="L22" s="4">
        <v>7</v>
      </c>
      <c r="M22" s="4">
        <v>8</v>
      </c>
      <c r="N22" s="4">
        <v>9</v>
      </c>
      <c r="O22" s="7" t="s">
        <v>14</v>
      </c>
    </row>
    <row r="23" spans="1:16" x14ac:dyDescent="0.35">
      <c r="A23" s="1" t="s">
        <v>8</v>
      </c>
      <c r="B23" s="2">
        <f>+E23</f>
        <v>1.2383808795973261</v>
      </c>
      <c r="D23" s="4" cm="1">
        <f t="array" ref="D23:D32">+_xlfn.SEQUENCE(10,,0)</f>
        <v>0</v>
      </c>
      <c r="E23" s="5">
        <f t="shared" ref="E23:M23" si="1">+IF($D23&gt;E$22,"",IF(E$22=9,MAX($B$8-E10,0), MAX(MAX($B$8-E10,0),EXP(-$B$9*$B$5)*($B$6*F23+(1-$B$6)*F24)   )))</f>
        <v>1.2383808795973261</v>
      </c>
      <c r="F23" s="5">
        <f t="shared" si="1"/>
        <v>0.85183970373235707</v>
      </c>
      <c r="G23" s="5">
        <f t="shared" si="1"/>
        <v>0.52334194399481082</v>
      </c>
      <c r="H23" s="5">
        <f t="shared" si="1"/>
        <v>0.27104625514694003</v>
      </c>
      <c r="I23" s="5">
        <f t="shared" si="1"/>
        <v>0.10515416647827193</v>
      </c>
      <c r="J23" s="5">
        <f t="shared" si="1"/>
        <v>2.2670646223760839E-2</v>
      </c>
      <c r="K23" s="5">
        <f t="shared" si="1"/>
        <v>0</v>
      </c>
      <c r="L23" s="5">
        <f t="shared" si="1"/>
        <v>0</v>
      </c>
      <c r="M23" s="5">
        <f t="shared" si="1"/>
        <v>0</v>
      </c>
      <c r="N23" s="5">
        <f t="shared" ref="N23:N32" si="2">+IF($D23&gt;N$22,"",IF(N$22=9,MAX($B$8-N10,0), MAX(MAX($B$8-N10,0),EXP(-$B$9*$B$5)*($B$6*P28+(1-$B$6)*P29)   )))</f>
        <v>0</v>
      </c>
      <c r="O23" s="8">
        <f>+BINOMDIST(D23,$N$22,$B$6,FALSE)</f>
        <v>1.953125E-3</v>
      </c>
    </row>
    <row r="24" spans="1:16" x14ac:dyDescent="0.35">
      <c r="A24" s="1" t="s">
        <v>9</v>
      </c>
      <c r="B24" s="2">
        <f>+-(B2*NORMSDIST(-B25)-B8*EXP(-B9*B5*N9)*NORMSDIST(-B26))</f>
        <v>1.1505512431891054</v>
      </c>
      <c r="D24" s="4">
        <v>1</v>
      </c>
      <c r="E24" s="5" t="str">
        <f t="shared" ref="E24:M24" si="3">+IF($D24&gt;E$22,"",IF(E$22=9,MAX($B$8-E11,0), MAX(MAX($B$8-E11,0),EXP(-$B$9*$B$5)*($B$6*F24+(1-$B$6)*F25)   )))</f>
        <v/>
      </c>
      <c r="F24" s="5">
        <f t="shared" si="3"/>
        <v>1.6300873544454888</v>
      </c>
      <c r="G24" s="5">
        <f t="shared" si="3"/>
        <v>1.1838904953585767</v>
      </c>
      <c r="H24" s="5">
        <f t="shared" si="3"/>
        <v>0.77782049730362024</v>
      </c>
      <c r="I24" s="5">
        <f t="shared" si="3"/>
        <v>0.43806888044547299</v>
      </c>
      <c r="J24" s="5">
        <f t="shared" si="3"/>
        <v>0.18807628580850957</v>
      </c>
      <c r="K24" s="5">
        <f t="shared" si="3"/>
        <v>4.5435851938722814E-2</v>
      </c>
      <c r="L24" s="5">
        <f t="shared" si="3"/>
        <v>0</v>
      </c>
      <c r="M24" s="5">
        <f t="shared" si="3"/>
        <v>0</v>
      </c>
      <c r="N24" s="5">
        <f t="shared" si="2"/>
        <v>0</v>
      </c>
      <c r="O24" s="8">
        <f t="shared" ref="O24:O32" si="4">+BINOMDIST(D24,$N$22,$B$6,FALSE)</f>
        <v>1.7578125000000021E-2</v>
      </c>
    </row>
    <row r="25" spans="1:16" x14ac:dyDescent="0.35">
      <c r="A25" s="1" t="s">
        <v>10</v>
      </c>
      <c r="B25" s="2">
        <f>+(LOG($B$2/$B$8)+($B$9+$B$7*$B$7*0.5)*$N$9*$B$5)/($B$7*SQRT($N$9*$B$5))</f>
        <v>-4.4125063334327926E-2</v>
      </c>
      <c r="D25" s="4">
        <v>2</v>
      </c>
      <c r="E25" s="5" t="str">
        <f t="shared" ref="E25:M25" si="5">+IF($D25&gt;E$22,"",IF(E$22=9,MAX($B$8-E12,0), MAX(MAX($B$8-E12,0),EXP(-$B$9*$B$5)*($B$6*F25+(1-$B$6)*F26)   )))</f>
        <v/>
      </c>
      <c r="F25" s="5" t="str">
        <f t="shared" si="5"/>
        <v/>
      </c>
      <c r="G25" s="5">
        <f t="shared" si="5"/>
        <v>2.0830833241236206</v>
      </c>
      <c r="H25" s="5">
        <f t="shared" si="5"/>
        <v>1.5948985124613377</v>
      </c>
      <c r="I25" s="5">
        <f t="shared" si="5"/>
        <v>1.1208164112031882</v>
      </c>
      <c r="J25" s="5">
        <f t="shared" si="5"/>
        <v>0.68988866474598287</v>
      </c>
      <c r="K25" s="5">
        <f t="shared" si="5"/>
        <v>0.33150118773966164</v>
      </c>
      <c r="L25" s="5">
        <f t="shared" si="5"/>
        <v>9.1061217268427516E-2</v>
      </c>
      <c r="M25" s="5">
        <f t="shared" si="5"/>
        <v>0</v>
      </c>
      <c r="N25" s="5">
        <f t="shared" si="2"/>
        <v>0</v>
      </c>
      <c r="O25" s="8">
        <f t="shared" si="4"/>
        <v>7.0312500000000014E-2</v>
      </c>
    </row>
    <row r="26" spans="1:16" x14ac:dyDescent="0.35">
      <c r="A26" s="1" t="s">
        <v>11</v>
      </c>
      <c r="B26" s="2">
        <f>+B25-$B$7*SQRT($N$9*$B$5)</f>
        <v>-0.21733014409121565</v>
      </c>
      <c r="D26" s="4">
        <v>3</v>
      </c>
      <c r="E26" s="5" t="str">
        <f t="shared" ref="E26:M26" si="6">+IF($D26&gt;E$22,"",IF(E$22=9,MAX($B$8-E13,0), MAX(MAX($B$8-E13,0),EXP(-$B$9*$B$5)*($B$6*F26+(1-$B$6)*F27)   )))</f>
        <v/>
      </c>
      <c r="F26" s="5" t="str">
        <f t="shared" si="6"/>
        <v/>
      </c>
      <c r="G26" s="5" t="str">
        <f t="shared" si="6"/>
        <v/>
      </c>
      <c r="H26" s="5">
        <f t="shared" si="6"/>
        <v>2.5798066805247775</v>
      </c>
      <c r="I26" s="5">
        <f t="shared" si="6"/>
        <v>2.0756329513003067</v>
      </c>
      <c r="J26" s="5">
        <f t="shared" si="6"/>
        <v>1.5564190940749618</v>
      </c>
      <c r="K26" s="5">
        <f t="shared" si="6"/>
        <v>1.0511536742443175</v>
      </c>
      <c r="L26" s="5">
        <f t="shared" si="6"/>
        <v>0.57332385296674182</v>
      </c>
      <c r="M26" s="5">
        <f t="shared" si="6"/>
        <v>0.18250225178106017</v>
      </c>
      <c r="N26" s="5">
        <f t="shared" si="2"/>
        <v>0</v>
      </c>
      <c r="O26" s="8">
        <f t="shared" si="4"/>
        <v>0.16406249999999997</v>
      </c>
      <c r="P26" s="7">
        <f>+SUMPRODUCT(N23:N32,O23:O32)*EXP(-B9*B5*N9)</f>
        <v>1.1926621160736628</v>
      </c>
    </row>
    <row r="27" spans="1:16" x14ac:dyDescent="0.35">
      <c r="D27" s="4">
        <v>4</v>
      </c>
      <c r="E27" s="5" t="str">
        <f t="shared" ref="E27:M27" si="7">+IF($D27&gt;E$22,"",IF(E$22=9,MAX($B$8-E14,0), MAX(MAX($B$8-E14,0),EXP(-$B$9*$B$5)*($B$6*F27+(1-$B$6)*F28)   )))</f>
        <v/>
      </c>
      <c r="F27" s="5" t="str">
        <f t="shared" si="7"/>
        <v/>
      </c>
      <c r="G27" s="5" t="str">
        <f t="shared" si="7"/>
        <v/>
      </c>
      <c r="H27" s="5" t="str">
        <f t="shared" si="7"/>
        <v/>
      </c>
      <c r="I27" s="5">
        <f t="shared" si="7"/>
        <v>3.0488596995477737</v>
      </c>
      <c r="J27" s="5">
        <f t="shared" si="7"/>
        <v>2.5727713361613826</v>
      </c>
      <c r="K27" s="5">
        <f t="shared" si="7"/>
        <v>2.0681763534490774</v>
      </c>
      <c r="L27" s="5">
        <f t="shared" si="7"/>
        <v>1.5333678679667582</v>
      </c>
      <c r="M27" s="5">
        <f t="shared" si="7"/>
        <v>0.96653679365350875</v>
      </c>
      <c r="N27" s="5">
        <f t="shared" si="2"/>
        <v>0.36576572227203918</v>
      </c>
      <c r="O27" s="8">
        <f t="shared" si="4"/>
        <v>0.24609375000000008</v>
      </c>
    </row>
    <row r="28" spans="1:16" x14ac:dyDescent="0.35">
      <c r="D28" s="4">
        <v>5</v>
      </c>
      <c r="E28" s="5" t="str">
        <f t="shared" ref="E28:M28" si="8">+IF($D28&gt;E$22,"",IF(E$22=9,MAX($B$8-E15,0), MAX(MAX($B$8-E15,0),EXP(-$B$9*$B$5)*($B$6*F28+(1-$B$6)*F29)   )))</f>
        <v/>
      </c>
      <c r="F28" s="5" t="str">
        <f t="shared" si="8"/>
        <v/>
      </c>
      <c r="G28" s="5" t="str">
        <f t="shared" si="8"/>
        <v/>
      </c>
      <c r="H28" s="5" t="str">
        <f t="shared" si="8"/>
        <v/>
      </c>
      <c r="I28" s="5" t="str">
        <f t="shared" si="8"/>
        <v/>
      </c>
      <c r="J28" s="5">
        <f t="shared" si="8"/>
        <v>3.491783777546849</v>
      </c>
      <c r="K28" s="5">
        <f t="shared" si="8"/>
        <v>3.0422162641808024</v>
      </c>
      <c r="L28" s="5">
        <f t="shared" si="8"/>
        <v>2.5657301135398036</v>
      </c>
      <c r="M28" s="5">
        <f t="shared" si="8"/>
        <v>2.0607135253687243</v>
      </c>
      <c r="N28" s="5">
        <f t="shared" si="2"/>
        <v>1.5254581900670399</v>
      </c>
      <c r="O28" s="8">
        <f t="shared" si="4"/>
        <v>0.24609375000000008</v>
      </c>
    </row>
    <row r="29" spans="1:16" x14ac:dyDescent="0.35">
      <c r="D29" s="4">
        <v>6</v>
      </c>
      <c r="E29" s="5" t="str">
        <f t="shared" ref="E29:M29" si="9">+IF($D29&gt;E$22,"",IF(E$22=9,MAX($B$8-E16,0), MAX(MAX($B$8-E16,0),EXP(-$B$9*$B$5)*($B$6*F29+(1-$B$6)*F30)   )))</f>
        <v/>
      </c>
      <c r="F29" s="5" t="str">
        <f t="shared" si="9"/>
        <v/>
      </c>
      <c r="G29" s="5" t="str">
        <f t="shared" si="9"/>
        <v/>
      </c>
      <c r="H29" s="5" t="str">
        <f t="shared" si="9"/>
        <v/>
      </c>
      <c r="I29" s="5" t="str">
        <f t="shared" si="9"/>
        <v/>
      </c>
      <c r="J29" s="5" t="str">
        <f t="shared" si="9"/>
        <v/>
      </c>
      <c r="K29" s="5">
        <f t="shared" si="9"/>
        <v>3.910034446266482</v>
      </c>
      <c r="L29" s="5">
        <f t="shared" si="9"/>
        <v>3.485510419599402</v>
      </c>
      <c r="M29" s="5">
        <f t="shared" si="9"/>
        <v>3.0355672780083109</v>
      </c>
      <c r="N29" s="5">
        <f t="shared" si="2"/>
        <v>2.5586830077485629</v>
      </c>
      <c r="O29" s="8">
        <f t="shared" si="4"/>
        <v>0.16406249999999997</v>
      </c>
    </row>
    <row r="30" spans="1:16" x14ac:dyDescent="0.35">
      <c r="D30" s="4">
        <v>7</v>
      </c>
      <c r="E30" s="5" t="str">
        <f t="shared" ref="E30:M30" si="10">+IF($D30&gt;E$22,"",IF(E$22=9,MAX($B$8-E17,0), MAX(MAX($B$8-E17,0),EXP(-$B$9*$B$5)*($B$6*F30+(1-$B$6)*F31)   )))</f>
        <v/>
      </c>
      <c r="F30" s="5" t="str">
        <f t="shared" si="10"/>
        <v/>
      </c>
      <c r="G30" s="5" t="str">
        <f t="shared" si="10"/>
        <v/>
      </c>
      <c r="H30" s="5" t="str">
        <f t="shared" si="10"/>
        <v/>
      </c>
      <c r="I30" s="5" t="str">
        <f t="shared" si="10"/>
        <v/>
      </c>
      <c r="J30" s="5" t="str">
        <f t="shared" si="10"/>
        <v/>
      </c>
      <c r="K30" s="5" t="str">
        <f t="shared" si="10"/>
        <v/>
      </c>
      <c r="L30" s="5">
        <f t="shared" si="10"/>
        <v>4.3049861559921947</v>
      </c>
      <c r="M30" s="5">
        <f t="shared" si="10"/>
        <v>3.9041105503055968</v>
      </c>
      <c r="N30" s="5">
        <f t="shared" si="2"/>
        <v>3.4792318200581098</v>
      </c>
      <c r="O30" s="8">
        <f t="shared" si="4"/>
        <v>7.0312500000000014E-2</v>
      </c>
    </row>
    <row r="31" spans="1:16" x14ac:dyDescent="0.35">
      <c r="D31" s="4">
        <v>8</v>
      </c>
      <c r="E31" s="5" t="str">
        <f t="shared" ref="E31:M31" si="11">+IF($D31&gt;E$22,"",IF(E$22=9,MAX($B$8-E18,0), MAX(MAX($B$8-E18,0),EXP(-$B$9*$B$5)*($B$6*F31+(1-$B$6)*F32)   )))</f>
        <v/>
      </c>
      <c r="F31" s="5" t="str">
        <f t="shared" si="11"/>
        <v/>
      </c>
      <c r="G31" s="5" t="str">
        <f t="shared" si="11"/>
        <v/>
      </c>
      <c r="H31" s="5" t="str">
        <f t="shared" si="11"/>
        <v/>
      </c>
      <c r="I31" s="5" t="str">
        <f t="shared" si="11"/>
        <v/>
      </c>
      <c r="J31" s="5" t="str">
        <f t="shared" si="11"/>
        <v/>
      </c>
      <c r="K31" s="5" t="str">
        <f t="shared" si="11"/>
        <v/>
      </c>
      <c r="L31" s="5" t="str">
        <f t="shared" si="11"/>
        <v/>
      </c>
      <c r="M31" s="5">
        <f t="shared" si="11"/>
        <v>4.6779367922524475</v>
      </c>
      <c r="N31" s="5">
        <f t="shared" si="2"/>
        <v>4.29939225498266</v>
      </c>
      <c r="O31" s="8">
        <f t="shared" si="4"/>
        <v>1.7578125000000021E-2</v>
      </c>
    </row>
    <row r="32" spans="1:16" x14ac:dyDescent="0.35">
      <c r="D32" s="4">
        <v>9</v>
      </c>
      <c r="E32" s="5" t="str">
        <f t="shared" ref="E32:L32" si="12">+IF($D32&gt;E$22,"",IF(E$22=9,MAX($B$8-E19,0), MAX(MAX($B$8-E19,0),EXP(-$B$9*$B$5)*($B$6*F32+(1-$B$6)*G33)   )))</f>
        <v/>
      </c>
      <c r="F32" s="5" t="str">
        <f t="shared" si="12"/>
        <v/>
      </c>
      <c r="G32" s="5" t="str">
        <f t="shared" si="12"/>
        <v/>
      </c>
      <c r="H32" s="5" t="str">
        <f t="shared" si="12"/>
        <v/>
      </c>
      <c r="I32" s="5" t="str">
        <f t="shared" si="12"/>
        <v/>
      </c>
      <c r="J32" s="5" t="str">
        <f t="shared" si="12"/>
        <v/>
      </c>
      <c r="K32" s="5" t="str">
        <f t="shared" si="12"/>
        <v/>
      </c>
      <c r="L32" s="5" t="str">
        <f t="shared" si="12"/>
        <v/>
      </c>
      <c r="M32" s="5" t="str">
        <f>+IF($D32&gt;M$22,"",IF(M$22=9,MAX($B$8-M19,0), MAX(MAX($B$8-M19,0),EXP(-$B$9*$B$5)*($B$6*N32+(1-$B$6)*O38)   )))</f>
        <v/>
      </c>
      <c r="N32" s="5">
        <f t="shared" si="2"/>
        <v>5.0301119409143569</v>
      </c>
      <c r="O32" s="8">
        <f t="shared" si="4"/>
        <v>1.953125E-3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Americana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Gómez Pérez</dc:creator>
  <cp:lastModifiedBy>BELEN RODRIGUEZ LLORENTE</cp:lastModifiedBy>
  <dcterms:created xsi:type="dcterms:W3CDTF">2024-11-22T11:50:18Z</dcterms:created>
  <dcterms:modified xsi:type="dcterms:W3CDTF">2025-01-13T12:04:41Z</dcterms:modified>
</cp:coreProperties>
</file>