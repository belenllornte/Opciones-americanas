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en\OneDrive\Escritorio\MÁSTER TECI\METODOS NUMÉRICOS EN FINANZAS\"/>
    </mc:Choice>
  </mc:AlternateContent>
  <xr:revisionPtr revIDLastSave="0" documentId="8_{1C11F1C1-FE96-4C84-8D15-46245F38C437}" xr6:coauthVersionLast="47" xr6:coauthVersionMax="47" xr10:uidLastSave="{00000000-0000-0000-0000-000000000000}"/>
  <bookViews>
    <workbookView xWindow="-110" yWindow="-110" windowWidth="21820" windowHeight="13900" xr2:uid="{B1AB1F05-9F4D-4E3A-B913-389E8A6DD835}"/>
  </bookViews>
  <sheets>
    <sheet name="Árbol america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" i="1" l="1"/>
  <c r="Q30" i="1"/>
  <c r="P30" i="1" s="1"/>
  <c r="O30" i="1" s="1"/>
  <c r="E31" i="1"/>
  <c r="Q31" i="1"/>
  <c r="P31" i="1" s="1"/>
  <c r="E32" i="1"/>
  <c r="F32" i="1"/>
  <c r="Q32" i="1"/>
  <c r="P32" i="1" s="1"/>
  <c r="E33" i="1"/>
  <c r="F33" i="1"/>
  <c r="G33" i="1"/>
  <c r="Q33" i="1"/>
  <c r="P33" i="1" s="1"/>
  <c r="O33" i="1" s="1"/>
  <c r="E34" i="1"/>
  <c r="F34" i="1"/>
  <c r="G34" i="1"/>
  <c r="H34" i="1"/>
  <c r="P34" i="1"/>
  <c r="O34" i="1" s="1"/>
  <c r="Q34" i="1"/>
  <c r="E35" i="1"/>
  <c r="F35" i="1"/>
  <c r="G35" i="1"/>
  <c r="H35" i="1"/>
  <c r="I35" i="1"/>
  <c r="Q35" i="1"/>
  <c r="P35" i="1" s="1"/>
  <c r="E36" i="1"/>
  <c r="F36" i="1"/>
  <c r="G36" i="1"/>
  <c r="H36" i="1"/>
  <c r="I36" i="1"/>
  <c r="J36" i="1"/>
  <c r="Q36" i="1"/>
  <c r="P36" i="1" s="1"/>
  <c r="O36" i="1" s="1"/>
  <c r="E37" i="1"/>
  <c r="F37" i="1"/>
  <c r="G37" i="1"/>
  <c r="H37" i="1"/>
  <c r="I37" i="1"/>
  <c r="J37" i="1"/>
  <c r="K37" i="1"/>
  <c r="Q37" i="1"/>
  <c r="P37" i="1" s="1"/>
  <c r="E38" i="1"/>
  <c r="F38" i="1"/>
  <c r="G38" i="1"/>
  <c r="H38" i="1"/>
  <c r="I38" i="1"/>
  <c r="J38" i="1"/>
  <c r="K38" i="1"/>
  <c r="L38" i="1"/>
  <c r="Q38" i="1"/>
  <c r="P38" i="1" s="1"/>
  <c r="O38" i="1" s="1"/>
  <c r="N38" i="1" s="1"/>
  <c r="E39" i="1"/>
  <c r="F39" i="1"/>
  <c r="G39" i="1"/>
  <c r="H39" i="1"/>
  <c r="I39" i="1"/>
  <c r="J39" i="1"/>
  <c r="K39" i="1"/>
  <c r="L39" i="1"/>
  <c r="M39" i="1"/>
  <c r="Q39" i="1"/>
  <c r="P39" i="1" s="1"/>
  <c r="O39" i="1" s="1"/>
  <c r="E40" i="1"/>
  <c r="F40" i="1"/>
  <c r="G40" i="1"/>
  <c r="H40" i="1"/>
  <c r="I40" i="1"/>
  <c r="J40" i="1"/>
  <c r="K40" i="1"/>
  <c r="L40" i="1"/>
  <c r="M40" i="1"/>
  <c r="N40" i="1"/>
  <c r="Q40" i="1"/>
  <c r="P40" i="1" s="1"/>
  <c r="E41" i="1"/>
  <c r="F41" i="1"/>
  <c r="G41" i="1"/>
  <c r="H41" i="1"/>
  <c r="I41" i="1"/>
  <c r="J41" i="1"/>
  <c r="K41" i="1"/>
  <c r="L41" i="1"/>
  <c r="M41" i="1"/>
  <c r="N41" i="1"/>
  <c r="O41" i="1"/>
  <c r="Q41" i="1"/>
  <c r="P41" i="1" s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B3" i="1"/>
  <c r="O32" i="1" l="1"/>
  <c r="N32" i="1" s="1"/>
  <c r="O40" i="1"/>
  <c r="N39" i="1" s="1"/>
  <c r="M38" i="1" s="1"/>
  <c r="O35" i="1"/>
  <c r="N35" i="1" s="1"/>
  <c r="O37" i="1"/>
  <c r="N37" i="1" s="1"/>
  <c r="M37" i="1" s="1"/>
  <c r="O31" i="1"/>
  <c r="N31" i="1" s="1"/>
  <c r="M31" i="1" s="1"/>
  <c r="N33" i="1"/>
  <c r="N30" i="1"/>
  <c r="M30" i="1" s="1"/>
  <c r="L30" i="1" s="1"/>
  <c r="L37" i="1" l="1"/>
  <c r="N36" i="1"/>
  <c r="M36" i="1" s="1"/>
  <c r="L36" i="1" s="1"/>
  <c r="K36" i="1" s="1"/>
  <c r="N34" i="1"/>
  <c r="M34" i="1" s="1"/>
  <c r="M33" i="1"/>
  <c r="L33" i="1" s="1"/>
  <c r="M32" i="1"/>
  <c r="L32" i="1" s="1"/>
  <c r="K32" i="1" s="1"/>
  <c r="L31" i="1"/>
  <c r="K31" i="1" s="1"/>
  <c r="J31" i="1" s="1"/>
  <c r="M35" i="1" l="1"/>
  <c r="L35" i="1" s="1"/>
  <c r="K35" i="1" s="1"/>
  <c r="J35" i="1" s="1"/>
  <c r="K30" i="1"/>
  <c r="J30" i="1" s="1"/>
  <c r="I30" i="1" s="1"/>
  <c r="L34" i="1" l="1"/>
  <c r="K34" i="1" l="1"/>
  <c r="J34" i="1" s="1"/>
  <c r="I34" i="1" s="1"/>
  <c r="K33" i="1"/>
  <c r="J33" i="1" l="1"/>
  <c r="I33" i="1" s="1"/>
  <c r="H33" i="1" s="1"/>
  <c r="J32" i="1"/>
  <c r="I32" i="1" l="1"/>
  <c r="H32" i="1" s="1"/>
  <c r="G32" i="1" s="1"/>
  <c r="I31" i="1"/>
  <c r="H31" i="1" l="1"/>
  <c r="G31" i="1" s="1"/>
  <c r="F31" i="1" s="1"/>
  <c r="H30" i="1"/>
  <c r="G30" i="1" s="1"/>
  <c r="F30" i="1" s="1"/>
  <c r="E30" i="1" s="1"/>
  <c r="B31" i="1" l="1"/>
  <c r="B32" i="1" s="1"/>
  <c r="B30" i="1" l="1"/>
  <c r="D30" i="1" a="1"/>
  <c r="E29" i="1" a="1"/>
  <c r="E29" i="1" s="1"/>
  <c r="D10" i="1" a="1"/>
  <c r="D10" i="1" s="1"/>
  <c r="E9" i="1" a="1"/>
  <c r="B5" i="1"/>
  <c r="B4" i="1" s="1"/>
  <c r="E9" i="1" l="1"/>
  <c r="D30" i="1"/>
  <c r="E10" i="1"/>
  <c r="K10" i="1" s="1"/>
  <c r="F17" i="1"/>
  <c r="F19" i="1"/>
  <c r="F14" i="1"/>
  <c r="I17" i="1"/>
  <c r="H14" i="1"/>
  <c r="J17" i="1"/>
  <c r="E16" i="1"/>
  <c r="K17" i="1"/>
  <c r="G19" i="1"/>
  <c r="H17" i="1"/>
  <c r="H19" i="1"/>
  <c r="E11" i="1"/>
  <c r="G14" i="1"/>
  <c r="E19" i="1"/>
  <c r="F16" i="1"/>
  <c r="E13" i="1"/>
  <c r="G16" i="1"/>
  <c r="I19" i="1"/>
  <c r="J11" i="1"/>
  <c r="F13" i="1"/>
  <c r="L14" i="1"/>
  <c r="H16" i="1"/>
  <c r="J19" i="1"/>
  <c r="K19" i="1"/>
  <c r="L19" i="1"/>
  <c r="L18" i="1"/>
  <c r="I16" i="1"/>
  <c r="M19" i="1"/>
  <c r="G17" i="1"/>
  <c r="E14" i="1"/>
  <c r="G13" i="1"/>
  <c r="E18" i="1"/>
  <c r="H13" i="1"/>
  <c r="J16" i="1"/>
  <c r="F18" i="1"/>
  <c r="E15" i="1"/>
  <c r="G18" i="1"/>
  <c r="F15" i="1"/>
  <c r="H18" i="1"/>
  <c r="E12" i="1"/>
  <c r="G15" i="1"/>
  <c r="I18" i="1"/>
  <c r="F12" i="1"/>
  <c r="H15" i="1"/>
  <c r="J18" i="1"/>
  <c r="I15" i="1"/>
  <c r="E17" i="1"/>
  <c r="K18" i="1"/>
  <c r="B6" i="1"/>
  <c r="L11" i="1" l="1"/>
  <c r="R34" i="1"/>
  <c r="R37" i="1"/>
  <c r="R31" i="1"/>
  <c r="R35" i="1"/>
  <c r="R38" i="1"/>
  <c r="R41" i="1"/>
  <c r="R32" i="1"/>
  <c r="R36" i="1"/>
  <c r="R39" i="1"/>
  <c r="R42" i="1"/>
  <c r="R33" i="1"/>
  <c r="R40" i="1"/>
  <c r="G12" i="1"/>
  <c r="M14" i="1"/>
  <c r="L13" i="1"/>
  <c r="M16" i="1"/>
  <c r="K13" i="1"/>
  <c r="H12" i="1"/>
  <c r="I13" i="1"/>
  <c r="M11" i="1"/>
  <c r="J13" i="1"/>
  <c r="J14" i="1"/>
  <c r="H11" i="1"/>
  <c r="I11" i="1"/>
  <c r="K16" i="1"/>
  <c r="L15" i="1"/>
  <c r="J12" i="1"/>
  <c r="J15" i="1"/>
  <c r="P20" i="1"/>
  <c r="Q18" i="1"/>
  <c r="N18" i="1"/>
  <c r="Q11" i="1"/>
  <c r="O14" i="1"/>
  <c r="P19" i="1"/>
  <c r="Q22" i="1"/>
  <c r="P21" i="1"/>
  <c r="O20" i="1"/>
  <c r="K11" i="1"/>
  <c r="K14" i="1"/>
  <c r="L16" i="1"/>
  <c r="Q21" i="1"/>
  <c r="Q20" i="1"/>
  <c r="F11" i="1"/>
  <c r="Q16" i="1"/>
  <c r="O19" i="1"/>
  <c r="N13" i="1"/>
  <c r="K15" i="1"/>
  <c r="O17" i="1"/>
  <c r="N15" i="1"/>
  <c r="N19" i="1"/>
  <c r="P14" i="1"/>
  <c r="O18" i="1"/>
  <c r="Q19" i="1"/>
  <c r="M18" i="1"/>
  <c r="O12" i="1"/>
  <c r="O15" i="1"/>
  <c r="N10" i="1"/>
  <c r="P12" i="1"/>
  <c r="Q15" i="1"/>
  <c r="Q17" i="1"/>
  <c r="Q14" i="1"/>
  <c r="O11" i="1"/>
  <c r="P10" i="1"/>
  <c r="N12" i="1"/>
  <c r="I14" i="1"/>
  <c r="P16" i="1"/>
  <c r="Q10" i="1"/>
  <c r="P15" i="1"/>
  <c r="M12" i="1"/>
  <c r="N17" i="1"/>
  <c r="Q12" i="1"/>
  <c r="N14" i="1"/>
  <c r="L17" i="1"/>
  <c r="G11" i="1"/>
  <c r="P17" i="1"/>
  <c r="O13" i="1"/>
  <c r="O16" i="1"/>
  <c r="P18" i="1"/>
  <c r="P13" i="1"/>
  <c r="N16" i="1"/>
  <c r="P11" i="1"/>
  <c r="Q13" i="1"/>
  <c r="O10" i="1"/>
  <c r="L10" i="1"/>
  <c r="M10" i="1"/>
  <c r="F10" i="1"/>
  <c r="L12" i="1"/>
  <c r="G10" i="1"/>
  <c r="H10" i="1"/>
  <c r="I10" i="1"/>
  <c r="K12" i="1"/>
  <c r="J10" i="1"/>
  <c r="M13" i="1"/>
  <c r="N11" i="1"/>
  <c r="I12" i="1"/>
  <c r="M17" i="1"/>
  <c r="M15" i="1"/>
  <c r="S30" i="1" l="1"/>
  <c r="B2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<sst xmlns="http://schemas.openxmlformats.org/spreadsheetml/2006/main" count="19" uniqueCount="19">
  <si>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S0</t>
  </si>
  <si>
    <t>u</t>
  </si>
  <si>
    <t>d</t>
  </si>
  <si>
    <t>delta_t</t>
  </si>
  <si>
    <t>p</t>
  </si>
  <si>
    <t>r</t>
  </si>
  <si>
    <t>sigma (volatilidad)</t>
  </si>
  <si>
    <t>K (strike)</t>
  </si>
  <si>
    <t>Parámetros</t>
  </si>
  <si>
    <t>T</t>
  </si>
  <si>
    <t>n</t>
  </si>
  <si>
    <t>Precio</t>
  </si>
  <si>
    <t>Check BS</t>
  </si>
  <si>
    <t>d1</t>
  </si>
  <si>
    <t>d2</t>
  </si>
  <si>
    <t>Subyacente</t>
  </si>
  <si>
    <t>Put</t>
  </si>
  <si>
    <t>Probabilidades</t>
  </si>
  <si>
    <t>Europea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</si>
</sst>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6" borderId="0" xfId="0" applyFill="1"/>
    <xf numFmtId="4" fontId="0" fillId="7" borderId="0" xfId="0" applyNumberFormat="1" applyFill="1"/>
    <xf numFmtId="0" fontId="0" fillId="4" borderId="0" xfId="0" applyFill="1"/>
    <xf numFmtId="4" fontId="0" fillId="4" borderId="0" xfId="0" applyNumberFormat="1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2" fontId="0" fillId="4" borderId="0" xfId="0" applyNumberFormat="1" applyFill="1"/>
    <xf numFmtId="0" fontId="1" fillId="5" borderId="0" xfId="0" applyFont="1" applyFill="1" applyAlignment="1">
      <alignment horizontal="center" vertical="center"/>
    </xf>
    <xf numFmtId="4" fontId="0" fillId="3" borderId="1" xfId="0" applyNumberFormat="1" applyFill="1" applyBorder="1" applyAlignment="1">
      <alignment horizontal="center"/>
    </xf>
    <xf numFmtId="9" fontId="0" fillId="3" borderId="1" xfId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" fontId="0" fillId="7" borderId="0" xfId="0" applyNumberFormat="1" applyFill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A1E2-6831-432A-B71C-8E3C345FC748}">
  <dimension ref="A1:V44"/>
  <sheetViews>
    <sheetView showGridLines="0" tabSelected="1" zoomScale="70" zoomScaleNormal="55" workbookViewId="0">
      <selection activeCell="X13" sqref="X13"/>
    </sheetView>
  </sheetViews>
  <sheetFormatPr baseColWidth="10" defaultRowHeight="14.5" x14ac:dyDescent="0.35"/>
  <cols>
    <col min="4" max="4" width="19.1796875" bestFit="1" customWidth="1"/>
    <col min="5" max="5" width="10.90625" customWidth="1"/>
    <col min="18" max="18" width="13" bestFit="1" customWidth="1"/>
  </cols>
  <sheetData>
    <row r="1" spans="1:22" ht="21" x14ac:dyDescent="0.5">
      <c r="A1" s="17" t="s">
        <v>8</v>
      </c>
      <c r="B1" s="1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35">
      <c r="A2" s="1" t="s">
        <v>0</v>
      </c>
      <c r="B2" s="2">
        <v>50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35">
      <c r="A3" s="1" t="s">
        <v>1</v>
      </c>
      <c r="B3" s="16">
        <f>EXP(B7*SQRT(B5))</f>
        <v>1.0594342369612506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x14ac:dyDescent="0.35">
      <c r="A4" s="1" t="s">
        <v>2</v>
      </c>
      <c r="B4" s="16">
        <f>1/B3</f>
        <v>0.94390002240089543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x14ac:dyDescent="0.35">
      <c r="A5" s="1" t="s">
        <v>3</v>
      </c>
      <c r="B5" s="16">
        <f>B10/B11</f>
        <v>8.3333333333333329E-2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x14ac:dyDescent="0.35">
      <c r="A6" s="1" t="s">
        <v>4</v>
      </c>
      <c r="B6" s="16">
        <f>(EXP(B9*B5)-B4)/(B3-B4)</f>
        <v>0.52170984257425435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29" x14ac:dyDescent="0.35">
      <c r="A7" s="4" t="s">
        <v>6</v>
      </c>
      <c r="B7" s="3">
        <v>0.2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x14ac:dyDescent="0.35">
      <c r="A8" s="4" t="s">
        <v>7</v>
      </c>
      <c r="B8" s="2">
        <v>52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35">
      <c r="A9" s="1" t="s">
        <v>5</v>
      </c>
      <c r="B9" s="15">
        <v>0.05</v>
      </c>
      <c r="C9" s="7"/>
      <c r="D9" s="13" t="s">
        <v>15</v>
      </c>
      <c r="E9" s="5" cm="1">
        <f t="array" ref="E9:Q9">+TRANSPOSE(_xlfn.SEQUENCE((B10*B11)+1,,0))</f>
        <v>0</v>
      </c>
      <c r="F9" s="5">
        <v>1</v>
      </c>
      <c r="G9" s="5">
        <v>2</v>
      </c>
      <c r="H9" s="5">
        <v>3</v>
      </c>
      <c r="I9" s="5">
        <v>4</v>
      </c>
      <c r="J9" s="5">
        <v>5</v>
      </c>
      <c r="K9" s="5">
        <v>6</v>
      </c>
      <c r="L9" s="5">
        <v>7</v>
      </c>
      <c r="M9" s="5">
        <v>8</v>
      </c>
      <c r="N9" s="5">
        <v>9</v>
      </c>
      <c r="O9" s="5">
        <v>10</v>
      </c>
      <c r="P9" s="5">
        <v>11</v>
      </c>
      <c r="Q9" s="5">
        <v>12</v>
      </c>
      <c r="R9" s="7"/>
      <c r="S9" s="7"/>
      <c r="T9" s="7"/>
      <c r="U9" s="7"/>
      <c r="V9" s="7"/>
    </row>
    <row r="10" spans="1:22" x14ac:dyDescent="0.35">
      <c r="A10" s="1" t="s">
        <v>9</v>
      </c>
      <c r="B10" s="2">
        <v>1</v>
      </c>
      <c r="C10" s="7"/>
      <c r="D10" s="11" cm="1">
        <f t="array" ref="D10:D22">+_xlfn.SEQUENCE((B10*B11)+1,,0)</f>
        <v>0</v>
      </c>
      <c r="E10" s="6">
        <f t="shared" ref="E10:Q10" si="0">+IF($D10&gt;E$9,"",IF(AND(E$9=0,$D10=0),$B$2,$E$10*$B$3^(E$9-$D10)*$B$4^$D10))</f>
        <v>50</v>
      </c>
      <c r="F10" s="6">
        <f t="shared" si="0"/>
        <v>52.971711848062533</v>
      </c>
      <c r="G10" s="6">
        <f t="shared" si="0"/>
        <v>56.120045122283372</v>
      </c>
      <c r="H10" s="6">
        <f t="shared" si="0"/>
        <v>59.455497182357234</v>
      </c>
      <c r="I10" s="6">
        <f t="shared" si="0"/>
        <v>62.989189290542427</v>
      </c>
      <c r="J10" s="6">
        <f t="shared" si="0"/>
        <v>66.732903692833588</v>
      </c>
      <c r="K10" s="6">
        <f t="shared" si="0"/>
        <v>70.699122904025785</v>
      </c>
      <c r="L10" s="6">
        <f t="shared" si="0"/>
        <v>74.901071327656226</v>
      </c>
      <c r="M10" s="6">
        <f t="shared" si="0"/>
        <v>79.352759349595686</v>
      </c>
      <c r="N10" s="6">
        <f t="shared" si="0"/>
        <v>84.069030052308662</v>
      </c>
      <c r="O10" s="6">
        <f t="shared" si="0"/>
        <v>89.065608705540072</v>
      </c>
      <c r="P10" s="6">
        <f t="shared" si="0"/>
        <v>94.359155198443162</v>
      </c>
      <c r="Q10" s="6">
        <f t="shared" si="0"/>
        <v>99.967319587970863</v>
      </c>
      <c r="R10" s="7"/>
      <c r="S10" s="7"/>
      <c r="T10" s="7"/>
      <c r="U10" s="7"/>
      <c r="V10" s="7"/>
    </row>
    <row r="11" spans="1:22" x14ac:dyDescent="0.35">
      <c r="A11" s="1" t="s">
        <v>10</v>
      </c>
      <c r="B11" s="2">
        <v>12</v>
      </c>
      <c r="C11" s="7"/>
      <c r="D11" s="11">
        <v>1</v>
      </c>
      <c r="E11" s="6" t="str">
        <f t="shared" ref="E11:Q22" si="1">+IF($D11&gt;E$9,"",IF(AND(E$9=0,$D11=0),$B$2,$E$10*$B$3^(E$9-$D11)*$B$4^$D11))</f>
        <v/>
      </c>
      <c r="F11" s="6">
        <f t="shared" si="1"/>
        <v>47.195001120044772</v>
      </c>
      <c r="G11" s="6">
        <f t="shared" si="1"/>
        <v>50</v>
      </c>
      <c r="H11" s="6">
        <f t="shared" si="1"/>
        <v>52.97171184806254</v>
      </c>
      <c r="I11" s="6">
        <f t="shared" si="1"/>
        <v>56.120045122283372</v>
      </c>
      <c r="J11" s="6">
        <f t="shared" si="1"/>
        <v>59.455497182357242</v>
      </c>
      <c r="K11" s="6">
        <f t="shared" si="1"/>
        <v>62.98918929054242</v>
      </c>
      <c r="L11" s="6">
        <f t="shared" si="1"/>
        <v>66.732903692833602</v>
      </c>
      <c r="M11" s="6">
        <f t="shared" si="1"/>
        <v>70.699122904025785</v>
      </c>
      <c r="N11" s="6">
        <f t="shared" si="1"/>
        <v>74.90107132765624</v>
      </c>
      <c r="O11" s="6">
        <f t="shared" si="1"/>
        <v>79.352759349595701</v>
      </c>
      <c r="P11" s="6">
        <f t="shared" si="1"/>
        <v>84.069030052308662</v>
      </c>
      <c r="Q11" s="6">
        <f t="shared" si="1"/>
        <v>89.065608705540072</v>
      </c>
      <c r="R11" s="7"/>
      <c r="S11" s="7"/>
      <c r="T11" s="7"/>
      <c r="U11" s="7"/>
      <c r="V11" s="7"/>
    </row>
    <row r="12" spans="1:22" x14ac:dyDescent="0.35">
      <c r="A12" s="7"/>
      <c r="B12" s="7"/>
      <c r="C12" s="7"/>
      <c r="D12" s="11">
        <v>2</v>
      </c>
      <c r="E12" s="6" t="str">
        <f t="shared" si="1"/>
        <v/>
      </c>
      <c r="F12" s="6" t="str">
        <f t="shared" si="1"/>
        <v/>
      </c>
      <c r="G12" s="6">
        <f t="shared" si="1"/>
        <v>44.547362614420543</v>
      </c>
      <c r="H12" s="6">
        <f t="shared" si="1"/>
        <v>47.195001120044772</v>
      </c>
      <c r="I12" s="6">
        <f t="shared" si="1"/>
        <v>50.000000000000007</v>
      </c>
      <c r="J12" s="6">
        <f t="shared" si="1"/>
        <v>52.971711848062533</v>
      </c>
      <c r="K12" s="6">
        <f t="shared" si="1"/>
        <v>56.120045122283372</v>
      </c>
      <c r="L12" s="6">
        <f t="shared" si="1"/>
        <v>59.455497182357234</v>
      </c>
      <c r="M12" s="6">
        <f t="shared" si="1"/>
        <v>62.989189290542427</v>
      </c>
      <c r="N12" s="6">
        <f t="shared" si="1"/>
        <v>66.732903692833588</v>
      </c>
      <c r="O12" s="6">
        <f t="shared" si="1"/>
        <v>70.699122904025785</v>
      </c>
      <c r="P12" s="6">
        <f t="shared" si="1"/>
        <v>74.90107132765624</v>
      </c>
      <c r="Q12" s="6">
        <f t="shared" si="1"/>
        <v>79.352759349595701</v>
      </c>
      <c r="R12" s="7"/>
      <c r="S12" s="7"/>
      <c r="T12" s="7"/>
      <c r="U12" s="7"/>
      <c r="V12" s="7"/>
    </row>
    <row r="13" spans="1:22" x14ac:dyDescent="0.35">
      <c r="A13" s="7"/>
      <c r="B13" s="7"/>
      <c r="C13" s="7"/>
      <c r="D13" s="11">
        <v>3</v>
      </c>
      <c r="E13" s="6" t="str">
        <f t="shared" ref="E13:Q13" si="2">+IF($D13&gt;E$9,"",IF(AND(E$9=0,$D13=0),$B$2,$E$10*$B$3^(E$9-$D13)*$B$4^$D13))</f>
        <v/>
      </c>
      <c r="F13" s="6" t="str">
        <f t="shared" si="2"/>
        <v/>
      </c>
      <c r="G13" s="6" t="str">
        <f t="shared" si="2"/>
        <v/>
      </c>
      <c r="H13" s="6">
        <f t="shared" si="2"/>
        <v>42.048256569652366</v>
      </c>
      <c r="I13" s="6">
        <f t="shared" si="2"/>
        <v>44.54736261442055</v>
      </c>
      <c r="J13" s="6">
        <f t="shared" si="2"/>
        <v>47.195001120044779</v>
      </c>
      <c r="K13" s="6">
        <f t="shared" si="2"/>
        <v>50.000000000000007</v>
      </c>
      <c r="L13" s="6">
        <f t="shared" si="2"/>
        <v>52.97171184806254</v>
      </c>
      <c r="M13" s="6">
        <f t="shared" si="2"/>
        <v>56.120045122283372</v>
      </c>
      <c r="N13" s="6">
        <f t="shared" si="2"/>
        <v>59.455497182357242</v>
      </c>
      <c r="O13" s="6">
        <f t="shared" si="2"/>
        <v>62.989189290542427</v>
      </c>
      <c r="P13" s="6">
        <f t="shared" si="2"/>
        <v>66.732903692833602</v>
      </c>
      <c r="Q13" s="6">
        <f t="shared" si="2"/>
        <v>70.699122904025799</v>
      </c>
      <c r="R13" s="7"/>
      <c r="S13" s="7"/>
      <c r="T13" s="7"/>
      <c r="U13" s="7"/>
      <c r="V13" s="7"/>
    </row>
    <row r="14" spans="1:22" x14ac:dyDescent="0.35">
      <c r="A14" s="7"/>
      <c r="B14" s="7"/>
      <c r="C14" s="7"/>
      <c r="D14" s="11">
        <v>4</v>
      </c>
      <c r="E14" s="6" t="str">
        <f t="shared" si="1"/>
        <v/>
      </c>
      <c r="F14" s="6" t="str">
        <f t="shared" si="1"/>
        <v/>
      </c>
      <c r="G14" s="6" t="str">
        <f t="shared" si="1"/>
        <v/>
      </c>
      <c r="H14" s="6" t="str">
        <f t="shared" si="1"/>
        <v/>
      </c>
      <c r="I14" s="6">
        <f t="shared" si="1"/>
        <v>39.68935031801346</v>
      </c>
      <c r="J14" s="6">
        <f t="shared" si="1"/>
        <v>42.048256569652359</v>
      </c>
      <c r="K14" s="6">
        <f t="shared" si="1"/>
        <v>44.54736261442055</v>
      </c>
      <c r="L14" s="6">
        <f t="shared" si="1"/>
        <v>47.195001120044772</v>
      </c>
      <c r="M14" s="6">
        <f t="shared" si="1"/>
        <v>50</v>
      </c>
      <c r="N14" s="6">
        <f t="shared" si="1"/>
        <v>52.971711848062526</v>
      </c>
      <c r="O14" s="6">
        <f t="shared" si="1"/>
        <v>56.120045122283372</v>
      </c>
      <c r="P14" s="6">
        <f t="shared" si="1"/>
        <v>59.455497182357234</v>
      </c>
      <c r="Q14" s="6">
        <f t="shared" si="1"/>
        <v>62.989189290542427</v>
      </c>
      <c r="R14" s="7"/>
      <c r="S14" s="7"/>
      <c r="T14" s="7"/>
      <c r="U14" s="7"/>
      <c r="V14" s="7"/>
    </row>
    <row r="15" spans="1:22" x14ac:dyDescent="0.35">
      <c r="A15" s="7"/>
      <c r="B15" s="7"/>
      <c r="C15" s="7"/>
      <c r="D15" s="11">
        <v>5</v>
      </c>
      <c r="E15" s="6" t="str">
        <f t="shared" si="1"/>
        <v/>
      </c>
      <c r="F15" s="6" t="str">
        <f t="shared" si="1"/>
        <v/>
      </c>
      <c r="G15" s="6" t="str">
        <f t="shared" si="1"/>
        <v/>
      </c>
      <c r="H15" s="6" t="str">
        <f t="shared" si="1"/>
        <v/>
      </c>
      <c r="I15" s="6" t="str">
        <f t="shared" si="1"/>
        <v/>
      </c>
      <c r="J15" s="6">
        <f t="shared" si="1"/>
        <v>37.462778654249888</v>
      </c>
      <c r="K15" s="6">
        <f t="shared" si="1"/>
        <v>39.68935031801346</v>
      </c>
      <c r="L15" s="6">
        <f t="shared" si="1"/>
        <v>42.048256569652366</v>
      </c>
      <c r="M15" s="6">
        <f t="shared" si="1"/>
        <v>44.547362614420543</v>
      </c>
      <c r="N15" s="6">
        <f t="shared" si="1"/>
        <v>47.195001120044772</v>
      </c>
      <c r="O15" s="6">
        <f t="shared" si="1"/>
        <v>49.999999999999993</v>
      </c>
      <c r="P15" s="6">
        <f t="shared" si="1"/>
        <v>52.971711848062533</v>
      </c>
      <c r="Q15" s="6">
        <f t="shared" si="1"/>
        <v>56.120045122283365</v>
      </c>
      <c r="R15" s="7"/>
      <c r="S15" s="7"/>
      <c r="T15" s="7"/>
      <c r="U15" s="7"/>
      <c r="V15" s="7"/>
    </row>
    <row r="16" spans="1:22" x14ac:dyDescent="0.35">
      <c r="A16" s="7"/>
      <c r="B16" s="7"/>
      <c r="C16" s="7"/>
      <c r="D16" s="11">
        <v>6</v>
      </c>
      <c r="E16" s="6" t="str">
        <f t="shared" si="1"/>
        <v/>
      </c>
      <c r="F16" s="6" t="str">
        <f t="shared" si="1"/>
        <v/>
      </c>
      <c r="G16" s="6" t="str">
        <f t="shared" si="1"/>
        <v/>
      </c>
      <c r="H16" s="6" t="str">
        <f t="shared" si="1"/>
        <v/>
      </c>
      <c r="I16" s="6" t="str">
        <f t="shared" si="1"/>
        <v/>
      </c>
      <c r="J16" s="6" t="str">
        <f t="shared" si="1"/>
        <v/>
      </c>
      <c r="K16" s="6">
        <f t="shared" si="1"/>
        <v>35.361117610946259</v>
      </c>
      <c r="L16" s="6">
        <f t="shared" si="1"/>
        <v>37.462778654249888</v>
      </c>
      <c r="M16" s="6">
        <f t="shared" si="1"/>
        <v>39.68935031801346</v>
      </c>
      <c r="N16" s="6">
        <f t="shared" si="1"/>
        <v>42.048256569652359</v>
      </c>
      <c r="O16" s="6">
        <f t="shared" si="1"/>
        <v>44.547362614420543</v>
      </c>
      <c r="P16" s="6">
        <f t="shared" si="1"/>
        <v>47.195001120044765</v>
      </c>
      <c r="Q16" s="6">
        <f t="shared" si="1"/>
        <v>50</v>
      </c>
      <c r="R16" s="7"/>
      <c r="S16" s="7"/>
      <c r="T16" s="7"/>
      <c r="U16" s="7"/>
      <c r="V16" s="7"/>
    </row>
    <row r="17" spans="1:22" x14ac:dyDescent="0.35">
      <c r="A17" s="7"/>
      <c r="B17" s="7"/>
      <c r="C17" s="7"/>
      <c r="D17" s="11">
        <v>7</v>
      </c>
      <c r="E17" s="6" t="str">
        <f t="shared" si="1"/>
        <v/>
      </c>
      <c r="F17" s="6" t="str">
        <f t="shared" si="1"/>
        <v/>
      </c>
      <c r="G17" s="6" t="str">
        <f t="shared" si="1"/>
        <v/>
      </c>
      <c r="H17" s="6" t="str">
        <f t="shared" si="1"/>
        <v/>
      </c>
      <c r="I17" s="6" t="str">
        <f t="shared" si="1"/>
        <v/>
      </c>
      <c r="J17" s="6" t="str">
        <f t="shared" si="1"/>
        <v/>
      </c>
      <c r="K17" s="6" t="str">
        <f t="shared" si="1"/>
        <v/>
      </c>
      <c r="L17" s="6">
        <f t="shared" si="1"/>
        <v>33.377359705092871</v>
      </c>
      <c r="M17" s="6">
        <f t="shared" si="1"/>
        <v>35.361117610946266</v>
      </c>
      <c r="N17" s="6">
        <f t="shared" si="1"/>
        <v>37.462778654249895</v>
      </c>
      <c r="O17" s="6">
        <f t="shared" si="1"/>
        <v>39.689350318013467</v>
      </c>
      <c r="P17" s="6">
        <f t="shared" si="1"/>
        <v>42.048256569652366</v>
      </c>
      <c r="Q17" s="6">
        <f t="shared" si="1"/>
        <v>44.547362614420543</v>
      </c>
      <c r="R17" s="7"/>
      <c r="S17" s="7"/>
      <c r="T17" s="7"/>
      <c r="U17" s="7"/>
      <c r="V17" s="7"/>
    </row>
    <row r="18" spans="1:22" x14ac:dyDescent="0.35">
      <c r="A18" s="7"/>
      <c r="B18" s="7"/>
      <c r="C18" s="7"/>
      <c r="D18" s="11">
        <v>8</v>
      </c>
      <c r="E18" s="6" t="str">
        <f t="shared" si="1"/>
        <v/>
      </c>
      <c r="F18" s="6" t="str">
        <f t="shared" si="1"/>
        <v/>
      </c>
      <c r="G18" s="6" t="str">
        <f t="shared" si="1"/>
        <v/>
      </c>
      <c r="H18" s="6" t="str">
        <f t="shared" si="1"/>
        <v/>
      </c>
      <c r="I18" s="6" t="str">
        <f t="shared" si="1"/>
        <v/>
      </c>
      <c r="J18" s="6" t="str">
        <f t="shared" si="1"/>
        <v/>
      </c>
      <c r="K18" s="6" t="str">
        <f t="shared" si="1"/>
        <v/>
      </c>
      <c r="L18" s="6" t="str">
        <f t="shared" si="1"/>
        <v/>
      </c>
      <c r="M18" s="6">
        <f t="shared" si="1"/>
        <v>31.504890573319905</v>
      </c>
      <c r="N18" s="6">
        <f t="shared" si="1"/>
        <v>33.377359705092871</v>
      </c>
      <c r="O18" s="6">
        <f t="shared" si="1"/>
        <v>35.361117610946259</v>
      </c>
      <c r="P18" s="6">
        <f t="shared" si="1"/>
        <v>37.462778654249895</v>
      </c>
      <c r="Q18" s="6">
        <f t="shared" si="1"/>
        <v>39.689350318013467</v>
      </c>
      <c r="R18" s="7"/>
      <c r="S18" s="7"/>
      <c r="T18" s="7"/>
      <c r="U18" s="7"/>
      <c r="V18" s="7"/>
    </row>
    <row r="19" spans="1:22" x14ac:dyDescent="0.35">
      <c r="A19" s="7"/>
      <c r="B19" s="7"/>
      <c r="C19" s="7"/>
      <c r="D19" s="11">
        <v>9</v>
      </c>
      <c r="E19" s="6" t="str">
        <f t="shared" si="1"/>
        <v/>
      </c>
      <c r="F19" s="6" t="str">
        <f t="shared" si="1"/>
        <v/>
      </c>
      <c r="G19" s="6" t="str">
        <f t="shared" si="1"/>
        <v/>
      </c>
      <c r="H19" s="6" t="str">
        <f t="shared" si="1"/>
        <v/>
      </c>
      <c r="I19" s="6" t="str">
        <f t="shared" si="1"/>
        <v/>
      </c>
      <c r="J19" s="6" t="str">
        <f t="shared" si="1"/>
        <v/>
      </c>
      <c r="K19" s="6" t="str">
        <f t="shared" si="1"/>
        <v/>
      </c>
      <c r="L19" s="6" t="str">
        <f t="shared" si="1"/>
        <v/>
      </c>
      <c r="M19" s="6" t="str">
        <f t="shared" si="1"/>
        <v/>
      </c>
      <c r="N19" s="6">
        <f t="shared" si="1"/>
        <v>29.737466917894416</v>
      </c>
      <c r="O19" s="6">
        <f t="shared" si="1"/>
        <v>31.504890573319905</v>
      </c>
      <c r="P19" s="6">
        <f t="shared" si="1"/>
        <v>33.377359705092871</v>
      </c>
      <c r="Q19" s="6">
        <f t="shared" si="1"/>
        <v>35.361117610946259</v>
      </c>
      <c r="R19" s="7"/>
      <c r="S19" s="7"/>
      <c r="T19" s="7"/>
      <c r="U19" s="7"/>
      <c r="V19" s="7"/>
    </row>
    <row r="20" spans="1:22" x14ac:dyDescent="0.35">
      <c r="A20" s="7"/>
      <c r="B20" s="7"/>
      <c r="C20" s="7"/>
      <c r="D20" s="11">
        <v>10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f t="shared" si="1"/>
        <v>28.069195689946426</v>
      </c>
      <c r="P20" s="6">
        <f t="shared" si="1"/>
        <v>29.737466917894416</v>
      </c>
      <c r="Q20" s="6">
        <f t="shared" si="1"/>
        <v>31.504890573319905</v>
      </c>
      <c r="R20" s="7"/>
      <c r="S20" s="7"/>
      <c r="T20" s="7"/>
      <c r="U20" s="7"/>
      <c r="V20" s="7"/>
    </row>
    <row r="21" spans="1:22" x14ac:dyDescent="0.35">
      <c r="A21" s="7"/>
      <c r="B21" s="7"/>
      <c r="C21" s="7"/>
      <c r="D21" s="11">
        <v>11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>
        <f t="shared" si="1"/>
        <v>26.494514440515548</v>
      </c>
      <c r="Q21" s="6">
        <f t="shared" si="1"/>
        <v>28.069195689946426</v>
      </c>
      <c r="R21" s="7"/>
      <c r="S21" s="7"/>
      <c r="T21" s="7"/>
      <c r="U21" s="7"/>
      <c r="V21" s="7"/>
    </row>
    <row r="22" spans="1:22" x14ac:dyDescent="0.35">
      <c r="A22" s="7"/>
      <c r="B22" s="7"/>
      <c r="C22" s="7"/>
      <c r="D22" s="11">
        <v>12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f t="shared" si="1"/>
        <v>25.008172773903475</v>
      </c>
      <c r="R22" s="7"/>
      <c r="S22" s="7"/>
      <c r="T22" s="7"/>
      <c r="U22" s="7"/>
      <c r="V22" s="7"/>
    </row>
    <row r="23" spans="1:22" x14ac:dyDescent="0.35">
      <c r="A23" s="9"/>
      <c r="B23" s="10"/>
      <c r="C23" s="7"/>
      <c r="D23" s="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7"/>
      <c r="S23" s="7"/>
      <c r="T23" s="7"/>
      <c r="U23" s="7"/>
      <c r="V23" s="7"/>
    </row>
    <row r="24" spans="1:22" x14ac:dyDescent="0.35">
      <c r="A24" s="9"/>
      <c r="B24" s="10"/>
      <c r="C24" s="7"/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7"/>
      <c r="S24" s="7"/>
      <c r="T24" s="7"/>
      <c r="U24" s="7"/>
      <c r="V24" s="7"/>
    </row>
    <row r="25" spans="1:22" x14ac:dyDescent="0.35">
      <c r="A25" s="9"/>
      <c r="B25" s="10"/>
      <c r="C25" s="7"/>
      <c r="D25" s="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7"/>
      <c r="S25" s="7"/>
      <c r="T25" s="7"/>
      <c r="U25" s="7"/>
      <c r="V25" s="7"/>
    </row>
    <row r="26" spans="1:22" x14ac:dyDescent="0.35">
      <c r="A26" s="9"/>
      <c r="B26" s="10"/>
      <c r="C26" s="7"/>
      <c r="D26" s="7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7"/>
      <c r="S26" s="7"/>
      <c r="T26" s="7"/>
      <c r="U26" s="7"/>
      <c r="V26" s="7"/>
    </row>
    <row r="27" spans="1:22" x14ac:dyDescent="0.35">
      <c r="A27" s="7"/>
      <c r="B27" s="7"/>
      <c r="C27" s="7"/>
      <c r="D27" s="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7"/>
      <c r="S27" s="7"/>
      <c r="T27" s="7"/>
      <c r="U27" s="7"/>
      <c r="V27" s="7"/>
    </row>
    <row r="28" spans="1:22" x14ac:dyDescent="0.35">
      <c r="A28" s="7"/>
      <c r="B28" s="7"/>
      <c r="C28" s="7"/>
      <c r="D28" s="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7"/>
      <c r="S28" s="7"/>
      <c r="T28" s="7"/>
      <c r="U28" s="7"/>
      <c r="V28" s="7"/>
    </row>
    <row r="29" spans="1:22" x14ac:dyDescent="0.35">
      <c r="A29" s="1" t="s">
        <v>11</v>
      </c>
      <c r="B29" s="14">
        <f>+E30</f>
        <v>4.1317814332060596</v>
      </c>
      <c r="C29" s="7"/>
      <c r="D29" s="13" t="s">
        <v>16</v>
      </c>
      <c r="E29" s="5" cm="1">
        <f t="array" ref="E29:Q29">+TRANSPOSE(_xlfn.SEQUENCE((B10*B11)+1,,0))</f>
        <v>0</v>
      </c>
      <c r="F29" s="5">
        <v>1</v>
      </c>
      <c r="G29" s="5">
        <v>2</v>
      </c>
      <c r="H29" s="5">
        <v>3</v>
      </c>
      <c r="I29" s="5">
        <v>4</v>
      </c>
      <c r="J29" s="5">
        <v>5</v>
      </c>
      <c r="K29" s="5">
        <v>6</v>
      </c>
      <c r="L29" s="5">
        <v>7</v>
      </c>
      <c r="M29" s="5">
        <v>8</v>
      </c>
      <c r="N29" s="5">
        <v>9</v>
      </c>
      <c r="O29" s="5">
        <v>10</v>
      </c>
      <c r="P29" s="5">
        <v>11</v>
      </c>
      <c r="Q29" s="5">
        <v>12</v>
      </c>
      <c r="R29" s="21" t="s">
        <v>17</v>
      </c>
      <c r="S29" s="22" t="s">
        <v>18</v>
      </c>
      <c r="T29" s="7"/>
      <c r="U29" s="7"/>
      <c r="V29" s="7"/>
    </row>
    <row r="30" spans="1:22" x14ac:dyDescent="0.35">
      <c r="A30" s="1" t="s">
        <v>12</v>
      </c>
      <c r="B30" s="14">
        <f>+-(B2*NORMSDIST(-B31)-B8*EXP(-B9*B5*Q9)*NORMSDIST(-B32))</f>
        <v>3.675041760418388</v>
      </c>
      <c r="C30" s="7"/>
      <c r="D30" s="11" cm="1">
        <f t="array" ref="D30:D42">+_xlfn.SEQUENCE((B10*B11)+1,,0)</f>
        <v>0</v>
      </c>
      <c r="E30" s="18">
        <f t="shared" ref="E30:Q30" si="3">+IF($D30&gt;E$29,"",IF(E$29=12,MAX($B$8-E10,0), MAX(MAX($B$8-E10,0),EXP(-$B$9*$B$5)*($B$6*F30+(1-$B$6)*F31)   )))</f>
        <v>4.1317814332060596</v>
      </c>
      <c r="F30" s="18">
        <f t="shared" si="3"/>
        <v>2.7477490953628267</v>
      </c>
      <c r="G30" s="18">
        <f t="shared" si="3"/>
        <v>1.6687607541215725</v>
      </c>
      <c r="H30" s="18">
        <f t="shared" si="3"/>
        <v>0.89171478433338636</v>
      </c>
      <c r="I30" s="18">
        <f t="shared" si="3"/>
        <v>0.39426948386169103</v>
      </c>
      <c r="J30" s="18">
        <f t="shared" si="3"/>
        <v>0.12889620901811508</v>
      </c>
      <c r="K30" s="18">
        <f t="shared" si="3"/>
        <v>2.3351850208578401E-2</v>
      </c>
      <c r="L30" s="18">
        <f t="shared" si="3"/>
        <v>0</v>
      </c>
      <c r="M30" s="18">
        <f t="shared" si="3"/>
        <v>0</v>
      </c>
      <c r="N30" s="18">
        <f t="shared" si="3"/>
        <v>0</v>
      </c>
      <c r="O30" s="18">
        <f t="shared" si="3"/>
        <v>0</v>
      </c>
      <c r="P30" s="18">
        <f t="shared" si="3"/>
        <v>0</v>
      </c>
      <c r="Q30" s="18">
        <f t="shared" si="3"/>
        <v>0</v>
      </c>
      <c r="R30" s="19">
        <f>+BINOMDIST($Q$29-D30,$Q$29,$B$6,FALSE)</f>
        <v>4.0658220081448343E-4</v>
      </c>
      <c r="S30" s="23">
        <f>+SUMPRODUCT(Q30:Q42,R30:R42)*EXP(-B9*B5*Q29)</f>
        <v>3.7563379960490795</v>
      </c>
      <c r="T30" s="7"/>
      <c r="U30" s="7"/>
      <c r="V30" s="7"/>
    </row>
    <row r="31" spans="1:22" x14ac:dyDescent="0.35">
      <c r="A31" s="1" t="s">
        <v>13</v>
      </c>
      <c r="B31" s="14">
        <f>+(LOG($B$2/$B$8)+($B$9+$B$7*$B$7*0.5)*$Q$9*$B$5)/($B$7*SQRT($Q$9*$B$5))</f>
        <v>0.26483330350609829</v>
      </c>
      <c r="C31" s="7"/>
      <c r="D31" s="11">
        <v>1</v>
      </c>
      <c r="E31" s="18" t="str">
        <f t="shared" ref="E31:Q31" si="4">+IF($D31&gt;E$29,"",IF(E$29=12,MAX($B$8-E11,0), MAX(MAX($B$8-E11,0),EXP(-$B$9*$B$5)*($B$6*F31+(1-$B$6)*F32)   )))</f>
        <v/>
      </c>
      <c r="F31" s="18">
        <f t="shared" si="4"/>
        <v>5.6775271559886926</v>
      </c>
      <c r="G31" s="18">
        <f t="shared" si="4"/>
        <v>3.9486763326175263</v>
      </c>
      <c r="H31" s="18">
        <f t="shared" si="4"/>
        <v>2.5309156613225383</v>
      </c>
      <c r="I31" s="18">
        <f t="shared" si="4"/>
        <v>1.4421031519824816</v>
      </c>
      <c r="J31" s="18">
        <f t="shared" si="4"/>
        <v>0.68717550339744182</v>
      </c>
      <c r="K31" s="18">
        <f t="shared" si="4"/>
        <v>0.24514722932406793</v>
      </c>
      <c r="L31" s="18">
        <f t="shared" si="4"/>
        <v>4.9027462115299951E-2</v>
      </c>
      <c r="M31" s="18">
        <f t="shared" si="4"/>
        <v>0</v>
      </c>
      <c r="N31" s="18">
        <f t="shared" si="4"/>
        <v>0</v>
      </c>
      <c r="O31" s="18">
        <f t="shared" si="4"/>
        <v>0</v>
      </c>
      <c r="P31" s="18">
        <f t="shared" si="4"/>
        <v>0</v>
      </c>
      <c r="Q31" s="18">
        <f t="shared" si="4"/>
        <v>0</v>
      </c>
      <c r="R31" s="19">
        <f t="shared" ref="R30:R42" si="5">+BINOMDIST($Q$29-D31,$Q$29,$B$6,FALSE)</f>
        <v>4.472929179358257E-3</v>
      </c>
      <c r="S31" s="12"/>
      <c r="T31" s="7"/>
      <c r="U31" s="7"/>
      <c r="V31" s="7"/>
    </row>
    <row r="32" spans="1:22" x14ac:dyDescent="0.35">
      <c r="A32" s="1" t="s">
        <v>14</v>
      </c>
      <c r="B32" s="14">
        <f>+B31-$B$7*SQRT($Q$9*$B$5)</f>
        <v>6.4833303506098283E-2</v>
      </c>
      <c r="C32" s="7"/>
      <c r="D32" s="11">
        <v>2</v>
      </c>
      <c r="E32" s="18" t="str">
        <f t="shared" ref="E32:Q32" si="6">+IF($D32&gt;E$29,"",IF(E$29=12,MAX($B$8-E12,0), MAX(MAX($B$8-E12,0),EXP(-$B$9*$B$5)*($B$6*F32+(1-$B$6)*F33)   )))</f>
        <v/>
      </c>
      <c r="F32" s="18" t="str">
        <f t="shared" si="6"/>
        <v/>
      </c>
      <c r="G32" s="18">
        <f t="shared" si="6"/>
        <v>7.6128883426766816</v>
      </c>
      <c r="H32" s="18">
        <f t="shared" si="6"/>
        <v>5.5296138185821695</v>
      </c>
      <c r="I32" s="18">
        <f t="shared" si="6"/>
        <v>3.7406660107263927</v>
      </c>
      <c r="J32" s="18">
        <f t="shared" si="6"/>
        <v>2.278153146498028</v>
      </c>
      <c r="K32" s="18">
        <f t="shared" si="6"/>
        <v>1.1753304492561727</v>
      </c>
      <c r="L32" s="18">
        <f t="shared" si="6"/>
        <v>0.46121103292403987</v>
      </c>
      <c r="M32" s="18">
        <f t="shared" si="6"/>
        <v>0.10293368705252166</v>
      </c>
      <c r="N32" s="18">
        <f t="shared" si="6"/>
        <v>0</v>
      </c>
      <c r="O32" s="18">
        <f t="shared" si="6"/>
        <v>0</v>
      </c>
      <c r="P32" s="18">
        <f t="shared" si="6"/>
        <v>0</v>
      </c>
      <c r="Q32" s="18">
        <f t="shared" si="6"/>
        <v>0</v>
      </c>
      <c r="R32" s="19">
        <f t="shared" si="5"/>
        <v>2.2553664982364965E-2</v>
      </c>
      <c r="S32" s="12"/>
      <c r="T32" s="7"/>
      <c r="U32" s="7"/>
      <c r="V32" s="7"/>
    </row>
    <row r="33" spans="1:22" x14ac:dyDescent="0.35">
      <c r="A33" s="7"/>
      <c r="B33" s="7"/>
      <c r="C33" s="7"/>
      <c r="D33" s="11">
        <v>3</v>
      </c>
      <c r="E33" s="20" t="str">
        <f t="shared" ref="E33:Q33" si="7">+IF($D33&gt;E$29,"",IF(E$29=12,MAX($B$8-E13,0), MAX(MAX($B$8-E13,0),EXP(-$B$9*$B$5)*($B$6*F33+(1-$B$6)*F34)   )))</f>
        <v/>
      </c>
      <c r="F33" s="20" t="str">
        <f t="shared" si="7"/>
        <v/>
      </c>
      <c r="G33" s="20" t="str">
        <f t="shared" si="7"/>
        <v/>
      </c>
      <c r="H33" s="18">
        <f t="shared" si="7"/>
        <v>9.9517434303476335</v>
      </c>
      <c r="I33" s="18">
        <f t="shared" si="7"/>
        <v>7.5292364091686999</v>
      </c>
      <c r="J33" s="18">
        <f t="shared" si="7"/>
        <v>5.3686024602928697</v>
      </c>
      <c r="K33" s="18">
        <f t="shared" si="7"/>
        <v>3.500978986820666</v>
      </c>
      <c r="L33" s="18">
        <f t="shared" si="7"/>
        <v>1.9645387349062777</v>
      </c>
      <c r="M33" s="18">
        <f t="shared" si="7"/>
        <v>0.85603943687955064</v>
      </c>
      <c r="N33" s="18">
        <f t="shared" si="7"/>
        <v>0.21611038942437913</v>
      </c>
      <c r="O33" s="18">
        <f t="shared" si="7"/>
        <v>0</v>
      </c>
      <c r="P33" s="18">
        <f t="shared" si="7"/>
        <v>0</v>
      </c>
      <c r="Q33" s="18">
        <f t="shared" si="7"/>
        <v>0</v>
      </c>
      <c r="R33" s="19">
        <f t="shared" si="5"/>
        <v>6.8922065451273232E-2</v>
      </c>
      <c r="S33" s="12"/>
      <c r="T33" s="7"/>
      <c r="U33" s="7"/>
      <c r="V33" s="7"/>
    </row>
    <row r="34" spans="1:22" x14ac:dyDescent="0.35">
      <c r="A34" s="7"/>
      <c r="B34" s="7"/>
      <c r="C34" s="7"/>
      <c r="D34" s="11">
        <v>4</v>
      </c>
      <c r="E34" s="20" t="str">
        <f t="shared" ref="E34:Q34" si="8">+IF($D34&gt;E$29,"",IF(E$29=12,MAX($B$8-E14,0), MAX(MAX($B$8-E14,0),EXP(-$B$9*$B$5)*($B$6*F34+(1-$B$6)*F35)   )))</f>
        <v/>
      </c>
      <c r="F34" s="20" t="str">
        <f t="shared" si="8"/>
        <v/>
      </c>
      <c r="G34" s="20" t="str">
        <f t="shared" si="8"/>
        <v/>
      </c>
      <c r="H34" s="20" t="str">
        <f t="shared" si="8"/>
        <v/>
      </c>
      <c r="I34" s="18">
        <f t="shared" si="8"/>
        <v>12.31064968198654</v>
      </c>
      <c r="J34" s="18">
        <f t="shared" si="8"/>
        <v>9.9517434303476406</v>
      </c>
      <c r="K34" s="18">
        <f t="shared" si="8"/>
        <v>7.4526373855794503</v>
      </c>
      <c r="L34" s="18">
        <f t="shared" si="8"/>
        <v>5.2074616196320029</v>
      </c>
      <c r="M34" s="18">
        <f t="shared" si="8"/>
        <v>3.1908187246169275</v>
      </c>
      <c r="N34" s="18">
        <f t="shared" si="8"/>
        <v>1.5615349391056341</v>
      </c>
      <c r="O34" s="18">
        <f t="shared" si="8"/>
        <v>0.45372610031278049</v>
      </c>
      <c r="P34" s="18">
        <f t="shared" si="8"/>
        <v>0</v>
      </c>
      <c r="Q34" s="18">
        <f t="shared" si="8"/>
        <v>0</v>
      </c>
      <c r="R34" s="19">
        <f t="shared" si="5"/>
        <v>0.14216844575389945</v>
      </c>
      <c r="S34" s="12"/>
      <c r="T34" s="7"/>
      <c r="U34" s="7"/>
      <c r="V34" s="7"/>
    </row>
    <row r="35" spans="1:22" x14ac:dyDescent="0.35">
      <c r="A35" s="7"/>
      <c r="B35" s="7"/>
      <c r="C35" s="7"/>
      <c r="D35" s="11">
        <v>5</v>
      </c>
      <c r="E35" s="20" t="str">
        <f t="shared" ref="E35:Q35" si="9">+IF($D35&gt;E$29,"",IF(E$29=12,MAX($B$8-E15,0), MAX(MAX($B$8-E15,0),EXP(-$B$9*$B$5)*($B$6*F35+(1-$B$6)*F36)   )))</f>
        <v/>
      </c>
      <c r="F35" s="20" t="str">
        <f t="shared" si="9"/>
        <v/>
      </c>
      <c r="G35" s="20" t="str">
        <f t="shared" si="9"/>
        <v/>
      </c>
      <c r="H35" s="20" t="str">
        <f t="shared" si="9"/>
        <v/>
      </c>
      <c r="I35" s="20" t="str">
        <f t="shared" si="9"/>
        <v/>
      </c>
      <c r="J35" s="18">
        <f t="shared" si="9"/>
        <v>14.537221345750112</v>
      </c>
      <c r="K35" s="18">
        <f t="shared" si="9"/>
        <v>12.31064968198654</v>
      </c>
      <c r="L35" s="18">
        <f t="shared" si="9"/>
        <v>9.9517434303476335</v>
      </c>
      <c r="M35" s="18">
        <f t="shared" si="9"/>
        <v>7.4526373855794574</v>
      </c>
      <c r="N35" s="18">
        <f t="shared" si="9"/>
        <v>4.9958656996636988</v>
      </c>
      <c r="O35" s="18">
        <f t="shared" si="9"/>
        <v>2.7835436617001972</v>
      </c>
      <c r="P35" s="18">
        <f t="shared" si="9"/>
        <v>0.95260285566733471</v>
      </c>
      <c r="Q35" s="18">
        <f t="shared" si="9"/>
        <v>0</v>
      </c>
      <c r="R35" s="19">
        <f t="shared" si="5"/>
        <v>0.20853819576057731</v>
      </c>
      <c r="S35" s="12"/>
      <c r="T35" s="7"/>
      <c r="U35" s="7"/>
      <c r="V35" s="7"/>
    </row>
    <row r="36" spans="1:22" x14ac:dyDescent="0.35">
      <c r="A36" s="7"/>
      <c r="B36" s="7"/>
      <c r="C36" s="7"/>
      <c r="D36" s="11">
        <v>6</v>
      </c>
      <c r="E36" s="20" t="str">
        <f t="shared" ref="E36:Q36" si="10">+IF($D36&gt;E$29,"",IF(E$29=12,MAX($B$8-E16,0), MAX(MAX($B$8-E16,0),EXP(-$B$9*$B$5)*($B$6*F36+(1-$B$6)*F37)   )))</f>
        <v/>
      </c>
      <c r="F36" s="20" t="str">
        <f t="shared" si="10"/>
        <v/>
      </c>
      <c r="G36" s="20" t="str">
        <f t="shared" si="10"/>
        <v/>
      </c>
      <c r="H36" s="20" t="str">
        <f t="shared" si="10"/>
        <v/>
      </c>
      <c r="I36" s="20" t="str">
        <f t="shared" si="10"/>
        <v/>
      </c>
      <c r="J36" s="20" t="str">
        <f t="shared" si="10"/>
        <v/>
      </c>
      <c r="K36" s="18">
        <f t="shared" si="10"/>
        <v>16.638882389053741</v>
      </c>
      <c r="L36" s="18">
        <f t="shared" si="10"/>
        <v>14.537221345750112</v>
      </c>
      <c r="M36" s="18">
        <f t="shared" si="10"/>
        <v>12.31064968198654</v>
      </c>
      <c r="N36" s="18">
        <f t="shared" si="10"/>
        <v>9.9517434303476406</v>
      </c>
      <c r="O36" s="18">
        <f t="shared" si="10"/>
        <v>7.4526373855794574</v>
      </c>
      <c r="P36" s="18">
        <f t="shared" si="10"/>
        <v>4.8049988799552352</v>
      </c>
      <c r="Q36" s="18">
        <f t="shared" si="10"/>
        <v>2</v>
      </c>
      <c r="R36" s="19">
        <f t="shared" si="5"/>
        <v>0.22304619297966688</v>
      </c>
      <c r="S36" s="12"/>
      <c r="T36" s="7"/>
      <c r="U36" s="7"/>
      <c r="V36" s="7"/>
    </row>
    <row r="37" spans="1:22" x14ac:dyDescent="0.35">
      <c r="A37" s="7"/>
      <c r="B37" s="7"/>
      <c r="C37" s="7"/>
      <c r="D37" s="11">
        <v>7</v>
      </c>
      <c r="E37" s="20" t="str">
        <f t="shared" ref="E37:Q37" si="11">+IF($D37&gt;E$29,"",IF(E$29=12,MAX($B$8-E17,0), MAX(MAX($B$8-E17,0),EXP(-$B$9*$B$5)*($B$6*F37+(1-$B$6)*F38)   )))</f>
        <v/>
      </c>
      <c r="F37" s="20" t="str">
        <f t="shared" si="11"/>
        <v/>
      </c>
      <c r="G37" s="20" t="str">
        <f t="shared" si="11"/>
        <v/>
      </c>
      <c r="H37" s="20" t="str">
        <f t="shared" si="11"/>
        <v/>
      </c>
      <c r="I37" s="20" t="str">
        <f t="shared" si="11"/>
        <v/>
      </c>
      <c r="J37" s="20" t="str">
        <f t="shared" si="11"/>
        <v/>
      </c>
      <c r="K37" s="20" t="str">
        <f t="shared" si="11"/>
        <v/>
      </c>
      <c r="L37" s="18">
        <f t="shared" si="11"/>
        <v>18.622640294907129</v>
      </c>
      <c r="M37" s="18">
        <f t="shared" si="11"/>
        <v>16.638882389053734</v>
      </c>
      <c r="N37" s="18">
        <f t="shared" si="11"/>
        <v>14.537221345750105</v>
      </c>
      <c r="O37" s="18">
        <f t="shared" si="11"/>
        <v>12.310649681986533</v>
      </c>
      <c r="P37" s="18">
        <f t="shared" si="11"/>
        <v>9.9517434303476335</v>
      </c>
      <c r="Q37" s="18">
        <f t="shared" si="11"/>
        <v>7.4526373855794574</v>
      </c>
      <c r="R37" s="19">
        <f t="shared" si="5"/>
        <v>0.1752711510954609</v>
      </c>
      <c r="S37" s="12"/>
      <c r="T37" s="7"/>
      <c r="U37" s="7"/>
      <c r="V37" s="7"/>
    </row>
    <row r="38" spans="1:22" x14ac:dyDescent="0.35">
      <c r="A38" s="7"/>
      <c r="B38" s="7"/>
      <c r="C38" s="7"/>
      <c r="D38" s="11">
        <v>8</v>
      </c>
      <c r="E38" s="20" t="str">
        <f t="shared" ref="E38:Q38" si="12">+IF($D38&gt;E$29,"",IF(E$29=12,MAX($B$8-E18,0), MAX(MAX($B$8-E18,0),EXP(-$B$9*$B$5)*($B$6*F38+(1-$B$6)*F39)   )))</f>
        <v/>
      </c>
      <c r="F38" s="20" t="str">
        <f t="shared" si="12"/>
        <v/>
      </c>
      <c r="G38" s="20" t="str">
        <f t="shared" si="12"/>
        <v/>
      </c>
      <c r="H38" s="20" t="str">
        <f t="shared" si="12"/>
        <v/>
      </c>
      <c r="I38" s="20" t="str">
        <f t="shared" si="12"/>
        <v/>
      </c>
      <c r="J38" s="20" t="str">
        <f t="shared" si="12"/>
        <v/>
      </c>
      <c r="K38" s="20" t="str">
        <f t="shared" si="12"/>
        <v/>
      </c>
      <c r="L38" s="20" t="str">
        <f t="shared" si="12"/>
        <v/>
      </c>
      <c r="M38" s="18">
        <f t="shared" si="12"/>
        <v>20.495109426680095</v>
      </c>
      <c r="N38" s="18">
        <f t="shared" si="12"/>
        <v>18.622640294907129</v>
      </c>
      <c r="O38" s="18">
        <f t="shared" si="12"/>
        <v>16.638882389053741</v>
      </c>
      <c r="P38" s="18">
        <f t="shared" si="12"/>
        <v>14.537221345750105</v>
      </c>
      <c r="Q38" s="18">
        <f t="shared" si="12"/>
        <v>12.310649681986533</v>
      </c>
      <c r="R38" s="19">
        <f t="shared" si="5"/>
        <v>0.10042755044163769</v>
      </c>
      <c r="S38" s="12"/>
      <c r="T38" s="7"/>
      <c r="U38" s="7"/>
      <c r="V38" s="7"/>
    </row>
    <row r="39" spans="1:22" x14ac:dyDescent="0.35">
      <c r="A39" s="7"/>
      <c r="B39" s="7"/>
      <c r="C39" s="7"/>
      <c r="D39" s="11">
        <v>9</v>
      </c>
      <c r="E39" s="20" t="str">
        <f t="shared" ref="E39:Q39" si="13">+IF($D39&gt;E$29,"",IF(E$29=12,MAX($B$8-E19,0), MAX(MAX($B$8-E19,0),EXP(-$B$9*$B$5)*($B$6*F39+(1-$B$6)*F40)   )))</f>
        <v/>
      </c>
      <c r="F39" s="20" t="str">
        <f t="shared" si="13"/>
        <v/>
      </c>
      <c r="G39" s="20" t="str">
        <f t="shared" si="13"/>
        <v/>
      </c>
      <c r="H39" s="20" t="str">
        <f t="shared" si="13"/>
        <v/>
      </c>
      <c r="I39" s="20" t="str">
        <f t="shared" si="13"/>
        <v/>
      </c>
      <c r="J39" s="20" t="str">
        <f t="shared" si="13"/>
        <v/>
      </c>
      <c r="K39" s="20" t="str">
        <f t="shared" si="13"/>
        <v/>
      </c>
      <c r="L39" s="20" t="str">
        <f t="shared" si="13"/>
        <v/>
      </c>
      <c r="M39" s="20" t="str">
        <f t="shared" si="13"/>
        <v/>
      </c>
      <c r="N39" s="18">
        <f t="shared" si="13"/>
        <v>22.262533082105584</v>
      </c>
      <c r="O39" s="18">
        <f t="shared" si="13"/>
        <v>20.495109426680095</v>
      </c>
      <c r="P39" s="18">
        <f t="shared" si="13"/>
        <v>18.622640294907129</v>
      </c>
      <c r="Q39" s="18">
        <f t="shared" si="13"/>
        <v>16.638882389053741</v>
      </c>
      <c r="R39" s="19">
        <f t="shared" si="5"/>
        <v>4.091973054822353E-2</v>
      </c>
      <c r="S39" s="12"/>
      <c r="T39" s="7"/>
      <c r="U39" s="7"/>
      <c r="V39" s="7"/>
    </row>
    <row r="40" spans="1:22" x14ac:dyDescent="0.35">
      <c r="A40" s="7"/>
      <c r="B40" s="7"/>
      <c r="C40" s="7"/>
      <c r="D40" s="11">
        <v>10</v>
      </c>
      <c r="E40" s="20" t="str">
        <f t="shared" ref="E40:Q40" si="14">+IF($D40&gt;E$29,"",IF(E$29=12,MAX($B$8-E20,0), MAX(MAX($B$8-E20,0),EXP(-$B$9*$B$5)*($B$6*F40+(1-$B$6)*F41)   )))</f>
        <v/>
      </c>
      <c r="F40" s="20" t="str">
        <f t="shared" si="14"/>
        <v/>
      </c>
      <c r="G40" s="20" t="str">
        <f t="shared" si="14"/>
        <v/>
      </c>
      <c r="H40" s="20" t="str">
        <f t="shared" si="14"/>
        <v/>
      </c>
      <c r="I40" s="20" t="str">
        <f t="shared" si="14"/>
        <v/>
      </c>
      <c r="J40" s="20" t="str">
        <f t="shared" si="14"/>
        <v/>
      </c>
      <c r="K40" s="20" t="str">
        <f t="shared" si="14"/>
        <v/>
      </c>
      <c r="L40" s="20" t="str">
        <f t="shared" si="14"/>
        <v/>
      </c>
      <c r="M40" s="20" t="str">
        <f t="shared" si="14"/>
        <v/>
      </c>
      <c r="N40" s="20" t="str">
        <f t="shared" si="14"/>
        <v/>
      </c>
      <c r="O40" s="18">
        <f t="shared" si="14"/>
        <v>23.930804310053574</v>
      </c>
      <c r="P40" s="18">
        <f t="shared" si="14"/>
        <v>22.262533082105584</v>
      </c>
      <c r="Q40" s="18">
        <f t="shared" si="14"/>
        <v>20.495109426680095</v>
      </c>
      <c r="R40" s="19">
        <f t="shared" si="5"/>
        <v>1.1254246768179382E-2</v>
      </c>
      <c r="S40" s="12"/>
      <c r="T40" s="7"/>
      <c r="U40" s="7"/>
      <c r="V40" s="7"/>
    </row>
    <row r="41" spans="1:22" x14ac:dyDescent="0.35">
      <c r="A41" s="7"/>
      <c r="B41" s="7"/>
      <c r="C41" s="7"/>
      <c r="D41" s="11">
        <v>11</v>
      </c>
      <c r="E41" s="20" t="str">
        <f t="shared" ref="E41:Q41" si="15">+IF($D41&gt;E$29,"",IF(E$29=12,MAX($B$8-E21,0), MAX(MAX($B$8-E21,0),EXP(-$B$9*$B$5)*($B$6*F41+(1-$B$6)*F42)   )))</f>
        <v/>
      </c>
      <c r="F41" s="20" t="str">
        <f t="shared" si="15"/>
        <v/>
      </c>
      <c r="G41" s="20" t="str">
        <f t="shared" si="15"/>
        <v/>
      </c>
      <c r="H41" s="20" t="str">
        <f t="shared" si="15"/>
        <v/>
      </c>
      <c r="I41" s="20" t="str">
        <f t="shared" si="15"/>
        <v/>
      </c>
      <c r="J41" s="20" t="str">
        <f t="shared" si="15"/>
        <v/>
      </c>
      <c r="K41" s="20" t="str">
        <f t="shared" si="15"/>
        <v/>
      </c>
      <c r="L41" s="20" t="str">
        <f t="shared" si="15"/>
        <v/>
      </c>
      <c r="M41" s="20" t="str">
        <f t="shared" si="15"/>
        <v/>
      </c>
      <c r="N41" s="20" t="str">
        <f t="shared" si="15"/>
        <v/>
      </c>
      <c r="O41" s="20" t="str">
        <f t="shared" si="15"/>
        <v/>
      </c>
      <c r="P41" s="18">
        <f t="shared" si="15"/>
        <v>25.505485559484452</v>
      </c>
      <c r="Q41" s="18">
        <f t="shared" si="15"/>
        <v>23.930804310053574</v>
      </c>
      <c r="R41" s="19">
        <f t="shared" si="5"/>
        <v>1.8759279651067652E-3</v>
      </c>
      <c r="S41" s="12"/>
      <c r="T41" s="7"/>
      <c r="U41" s="7"/>
      <c r="V41" s="7"/>
    </row>
    <row r="42" spans="1:22" x14ac:dyDescent="0.35">
      <c r="A42" s="7"/>
      <c r="B42" s="7"/>
      <c r="C42" s="7"/>
      <c r="D42" s="11">
        <v>12</v>
      </c>
      <c r="E42" s="20" t="str">
        <f t="shared" ref="E42:Q42" si="16">+IF($D42&gt;E$29,"",IF(E$29=12,MAX($B$8-E22,0), MAX(MAX($B$8-E22,0),EXP(-$B$9*$B$5)*($B$6*F42+(1-$B$6)*F43)   )))</f>
        <v/>
      </c>
      <c r="F42" s="20" t="str">
        <f t="shared" si="16"/>
        <v/>
      </c>
      <c r="G42" s="20" t="str">
        <f t="shared" si="16"/>
        <v/>
      </c>
      <c r="H42" s="20" t="str">
        <f t="shared" si="16"/>
        <v/>
      </c>
      <c r="I42" s="20" t="str">
        <f t="shared" si="16"/>
        <v/>
      </c>
      <c r="J42" s="20" t="str">
        <f t="shared" si="16"/>
        <v/>
      </c>
      <c r="K42" s="20" t="str">
        <f t="shared" si="16"/>
        <v/>
      </c>
      <c r="L42" s="20" t="str">
        <f t="shared" si="16"/>
        <v/>
      </c>
      <c r="M42" s="20" t="str">
        <f t="shared" si="16"/>
        <v/>
      </c>
      <c r="N42" s="20" t="str">
        <f t="shared" si="16"/>
        <v/>
      </c>
      <c r="O42" s="20" t="str">
        <f t="shared" si="16"/>
        <v/>
      </c>
      <c r="P42" s="20" t="str">
        <f t="shared" si="16"/>
        <v/>
      </c>
      <c r="Q42" s="18">
        <f t="shared" si="16"/>
        <v>26.991827226096525</v>
      </c>
      <c r="R42" s="19">
        <f t="shared" si="5"/>
        <v>1.4331687343726435E-4</v>
      </c>
      <c r="S42" s="12"/>
      <c r="T42" s="7"/>
      <c r="U42" s="7"/>
      <c r="V42" s="7"/>
    </row>
    <row r="43" spans="1:22" x14ac:dyDescent="0.3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Árbol americana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 RODRIGUEZ LLORENTE</dc:creator>
  <cp:lastModifiedBy>BELEN RODRIGUEZ LLORENTE</cp:lastModifiedBy>
  <dcterms:created xsi:type="dcterms:W3CDTF">2025-01-13T13:30:26Z</dcterms:created>
  <dcterms:modified xsi:type="dcterms:W3CDTF">2025-01-13T22:14:33Z</dcterms:modified>
</cp:coreProperties>
</file>